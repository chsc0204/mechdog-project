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테스트 시나리오" sheetId="2" state="visible" r:id="rId4"/>
    <sheet name="테스트 케이스" sheetId="3" state="visible" r:id="rId5"/>
    <sheet name="결과 요약" sheetId="4" state="visible" r:id="rId6"/>
    <sheet name="결함 목록" sheetId="5" state="visible" r:id="rId7"/>
  </sheets>
  <definedNames>
    <definedName function="false" hidden="true" localSheetId="2" name="_xlnm._FilterDatabase" vbProcedure="false">'테스트 케이스'!$A$1:$K$44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<sst xmlns="http://schemas.openxmlformats.org/spreadsheetml/2006/main" count="649" uniqueCount="457">
  <si>
    <r>
      <rPr>
        <b val="true"/>
        <sz val="16"/>
        <color rgb="FF1F4E78"/>
        <rFont val="맑은 고딕"/>
        <family val="0"/>
        <charset val="1"/>
      </rPr>
      <t xml:space="preserve">MechDog Dog C </t>
    </r>
    <r>
      <rPr>
        <b val="true"/>
        <sz val="16"/>
        <color rgb="FF1F4E78"/>
        <rFont val="Noto Sans CJK SC"/>
        <family val="2"/>
      </rPr>
      <t xml:space="preserve">테스트 시나리오 및 테스트 케이스 명세서</t>
    </r>
  </si>
  <si>
    <t xml:space="preserve">Test Scenario &amp; Test Case Sheet</t>
  </si>
  <si>
    <t xml:space="preserve">프로젝트</t>
  </si>
  <si>
    <r>
      <rPr>
        <sz val="10"/>
        <color rgb="FF000000"/>
        <rFont val="맑은 고딕"/>
        <family val="0"/>
        <charset val="1"/>
      </rPr>
      <t xml:space="preserve">MechDog </t>
    </r>
    <r>
      <rPr>
        <sz val="10"/>
        <color rgb="FF000000"/>
        <rFont val="Noto Sans CJK SC"/>
        <family val="2"/>
      </rPr>
      <t xml:space="preserve">팀 프로젝트 </t>
    </r>
    <r>
      <rPr>
        <sz val="10"/>
        <color rgb="FF000000"/>
        <rFont val="맑은 고딕"/>
        <family val="0"/>
        <charset val="1"/>
      </rPr>
      <t xml:space="preserve">(2026 </t>
    </r>
    <r>
      <rPr>
        <sz val="10"/>
        <color rgb="FF000000"/>
        <rFont val="Noto Sans CJK SC"/>
        <family val="2"/>
      </rPr>
      <t xml:space="preserve">미래내일 일경험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청년피지컬</t>
    </r>
    <r>
      <rPr>
        <sz val="10"/>
        <color rgb="FF000000"/>
        <rFont val="맑은 고딕"/>
        <family val="0"/>
        <charset val="1"/>
      </rPr>
      <t xml:space="preserve">AI)</t>
    </r>
  </si>
  <si>
    <t xml:space="preserve">담당 파트</t>
  </si>
  <si>
    <r>
      <rPr>
        <sz val="10"/>
        <color rgb="FF000000"/>
        <rFont val="맑은 고딕"/>
        <family val="0"/>
        <charset val="1"/>
      </rPr>
      <t xml:space="preserve">Dog C - </t>
    </r>
    <r>
      <rPr>
        <sz val="10"/>
        <color rgb="FF000000"/>
        <rFont val="Noto Sans CJK SC"/>
        <family val="2"/>
      </rPr>
      <t xml:space="preserve">목적지 유도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(+ </t>
    </r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DB/</t>
    </r>
    <r>
      <rPr>
        <sz val="10"/>
        <color rgb="FF000000"/>
        <rFont val="Noto Sans CJK SC"/>
        <family val="2"/>
      </rPr>
      <t xml:space="preserve">인프라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</si>
  <si>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작성자</t>
  </si>
  <si>
    <t xml:space="preserve">최현수</t>
  </si>
  <si>
    <r>
      <rPr>
        <b val="true"/>
        <sz val="10"/>
        <color rgb="FF000000"/>
        <rFont val="Noto Sans CJK SC"/>
        <family val="2"/>
      </rPr>
      <t xml:space="preserve">작성일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버전</t>
    </r>
  </si>
  <si>
    <r>
      <rPr>
        <sz val="10"/>
        <color rgb="FF000000"/>
        <rFont val="맑은 고딕"/>
        <family val="0"/>
        <charset val="1"/>
      </rPr>
      <t xml:space="preserve">2026-09-28 / v3.0 (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카메라 비전 복귀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경로 기록 모드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터치 진단 반영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</si>
  <si>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테스트 대상</t>
  </si>
  <si>
    <r>
      <rPr>
        <sz val="10"/>
        <color rgb="FF000000"/>
        <rFont val="Noto Sans CJK SC"/>
        <family val="2"/>
      </rPr>
      <t xml:space="preserve">로봇 펌웨어 </t>
    </r>
    <r>
      <rPr>
        <sz val="10"/>
        <color rgb="FF000000"/>
        <rFont val="맑은 고딕"/>
        <family val="0"/>
        <charset val="1"/>
      </rPr>
      <t xml:space="preserve">main_wifi.py / </t>
    </r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escort_wifi.py / </t>
    </r>
    <r>
      <rPr>
        <sz val="10"/>
        <color rgb="FF000000"/>
        <rFont val="Noto Sans CJK SC"/>
        <family val="2"/>
      </rPr>
      <t xml:space="preserve">카메라 추적 </t>
    </r>
    <r>
      <rPr>
        <sz val="10"/>
        <color rgb="FF000000"/>
        <rFont val="맑은 고딕"/>
        <family val="0"/>
        <charset val="1"/>
      </rPr>
      <t xml:space="preserve">ball_vision.py / </t>
    </r>
    <r>
      <rPr>
        <sz val="10"/>
        <color rgb="FF000000"/>
        <rFont val="Noto Sans CJK SC"/>
        <family val="2"/>
      </rPr>
      <t xml:space="preserve">경로 기록 </t>
    </r>
    <r>
      <rPr>
        <sz val="10"/>
        <color rgb="FF000000"/>
        <rFont val="맑은 고딕"/>
        <family val="0"/>
        <charset val="1"/>
      </rPr>
      <t xml:space="preserve">record_route.py / ESP32-CAM / MQTT→DB </t>
    </r>
    <r>
      <rPr>
        <sz val="10"/>
        <color rgb="FF000000"/>
        <rFont val="Noto Sans CJK SC"/>
        <family val="2"/>
      </rPr>
      <t xml:space="preserve">브릿지</t>
    </r>
  </si>
  <si>
    <t xml:space="preserve">테스트 환경</t>
  </si>
  <si>
    <r>
      <rPr>
        <sz val="10"/>
        <color rgb="FF000000"/>
        <rFont val="맑은 고딕"/>
        <family val="0"/>
        <charset val="1"/>
      </rPr>
      <t xml:space="preserve">Hiwonder MechDog(ESP32) · ESP32-CAM(OV2640, RGB565, 240x240) · </t>
    </r>
    <r>
      <rPr>
        <sz val="10"/>
        <color rgb="FF000000"/>
        <rFont val="Noto Sans CJK SC"/>
        <family val="2"/>
      </rPr>
      <t xml:space="preserve">폰 핫스팟</t>
    </r>
    <r>
      <rPr>
        <sz val="10"/>
        <color rgb="FF000000"/>
        <rFont val="맑은 고딕"/>
        <family val="0"/>
        <charset val="1"/>
      </rPr>
      <t xml:space="preserve">(172.20.10.x, </t>
    </r>
    <r>
      <rPr>
        <sz val="10"/>
        <color rgb="FF000000"/>
        <rFont val="Noto Sans CJK SC"/>
        <family val="2"/>
      </rPr>
      <t xml:space="preserve">로봇 </t>
    </r>
    <r>
      <rPr>
        <sz val="10"/>
        <color rgb="FF000000"/>
        <rFont val="맑은 고딕"/>
        <family val="0"/>
        <charset val="1"/>
      </rPr>
      <t xml:space="preserve">.6 / </t>
    </r>
    <r>
      <rPr>
        <sz val="10"/>
        <color rgb="FF000000"/>
        <rFont val="Noto Sans CJK SC"/>
        <family val="2"/>
      </rPr>
      <t xml:space="preserve">카메라 </t>
    </r>
    <r>
      <rPr>
        <sz val="10"/>
        <color rgb="FF000000"/>
        <rFont val="맑은 고딕"/>
        <family val="0"/>
        <charset val="1"/>
      </rPr>
      <t xml:space="preserve">.7, UDP 9027) · Windows </t>
    </r>
    <r>
      <rPr>
        <sz val="10"/>
        <color rgb="FF000000"/>
        <rFont val="Noto Sans CJK SC"/>
        <family val="2"/>
      </rPr>
      <t xml:space="preserve">노트북 </t>
    </r>
    <r>
      <rPr>
        <sz val="10"/>
        <color rgb="FF000000"/>
        <rFont val="맑은 고딕"/>
        <family val="0"/>
        <charset val="1"/>
      </rPr>
      <t xml:space="preserve">· Docker(PostgreSQL, Mosquitto, bridge)</t>
    </r>
  </si>
  <si>
    <t xml:space="preserve">테스트 범위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</si>
  <si>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통신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이동 제어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 자체 안전장치</t>
    </r>
    <r>
      <rPr>
        <sz val="10"/>
        <color rgb="FF000000"/>
        <rFont val="맑은 고딕"/>
        <family val="0"/>
        <charset val="1"/>
      </rPr>
      <t xml:space="preserve">(Tier1), </t>
    </r>
    <r>
      <rPr>
        <sz val="10"/>
        <color rgb="FF000000"/>
        <rFont val="Noto Sans CJK SC"/>
        <family val="2"/>
      </rPr>
      <t xml:space="preserve">카메라 동시작동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에스코트 주행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인터랙션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출발지 복귀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비상정지</t>
    </r>
    <r>
      <rPr>
        <sz val="10"/>
        <color rgb="FF000000"/>
        <rFont val="맑은 고딕"/>
        <family val="0"/>
        <charset val="1"/>
      </rPr>
      <t xml:space="preserve">, MQTT/DB </t>
    </r>
    <r>
      <rPr>
        <sz val="10"/>
        <color rgb="FF000000"/>
        <rFont val="Noto Sans CJK SC"/>
        <family val="2"/>
      </rPr>
      <t xml:space="preserve">연동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공개 저장소 보안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 비전 인식</t>
    </r>
  </si>
  <si>
    <t xml:space="preserve">범위 제외</t>
  </si>
  <si>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파트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출입인증</t>
    </r>
    <r>
      <rPr>
        <sz val="10"/>
        <color rgb="FF000000"/>
        <rFont val="맑은 고딕"/>
        <family val="0"/>
        <charset val="1"/>
      </rPr>
      <t xml:space="preserve">)·B</t>
    </r>
    <r>
      <rPr>
        <sz val="10"/>
        <color rgb="FF000000"/>
        <rFont val="Noto Sans CJK SC"/>
        <family val="2"/>
      </rPr>
      <t xml:space="preserve">파트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대화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연동 통합 테스트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팀 통합 테스트 단계에서 별도 수행</t>
    </r>
  </si>
  <si>
    <t xml:space="preserve">판정 기준</t>
  </si>
  <si>
    <r>
      <rPr>
        <sz val="10"/>
        <color rgb="FF000000"/>
        <rFont val="맑은 고딕"/>
        <family val="0"/>
        <charset val="1"/>
      </rPr>
      <t xml:space="preserve">Pass: </t>
    </r>
    <r>
      <rPr>
        <sz val="10"/>
        <color rgb="FF000000"/>
        <rFont val="Noto Sans CJK SC"/>
        <family val="2"/>
      </rPr>
      <t xml:space="preserve">기대 결과와 일치 </t>
    </r>
    <r>
      <rPr>
        <sz val="10"/>
        <color rgb="FF000000"/>
        <rFont val="맑은 고딕"/>
        <family val="0"/>
        <charset val="1"/>
      </rPr>
      <t xml:space="preserve">/ Fail: </t>
    </r>
    <r>
      <rPr>
        <sz val="10"/>
        <color rgb="FF000000"/>
        <rFont val="Noto Sans CJK SC"/>
        <family val="2"/>
      </rPr>
      <t xml:space="preserve">불일치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결함 등록</t>
    </r>
    <r>
      <rPr>
        <sz val="10"/>
        <color rgb="FF000000"/>
        <rFont val="맑은 고딕"/>
        <family val="0"/>
        <charset val="1"/>
      </rPr>
      <t xml:space="preserve">) / Blocked: </t>
    </r>
    <r>
      <rPr>
        <sz val="10"/>
        <color rgb="FF000000"/>
        <rFont val="Noto Sans CJK SC"/>
        <family val="2"/>
      </rPr>
      <t xml:space="preserve">선행 조건 미충족으로 수행 불가 </t>
    </r>
    <r>
      <rPr>
        <sz val="10"/>
        <color rgb="FF000000"/>
        <rFont val="맑은 고딕"/>
        <family val="0"/>
        <charset val="1"/>
      </rPr>
      <t xml:space="preserve">/ Not Run: </t>
    </r>
    <r>
      <rPr>
        <sz val="10"/>
        <color rgb="FF000000"/>
        <rFont val="Noto Sans CJK SC"/>
        <family val="2"/>
      </rPr>
      <t xml:space="preserve">미수행</t>
    </r>
  </si>
  <si>
    <t xml:space="preserve">시트 구성</t>
  </si>
  <si>
    <r>
      <rPr>
        <sz val="10"/>
        <color rgb="FF000000"/>
        <rFont val="Noto Sans CJK SC"/>
        <family val="2"/>
      </rPr>
      <t xml:space="preserve">① 테스트 시나리오 ② 테스트 케이스 ③ 결과 요약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집계</t>
    </r>
    <r>
      <rPr>
        <sz val="10"/>
        <color rgb="FF000000"/>
        <rFont val="맑은 고딕"/>
        <family val="0"/>
        <charset val="1"/>
      </rPr>
      <t xml:space="preserve">) ④ </t>
    </r>
    <r>
      <rPr>
        <sz val="10"/>
        <color rgb="FF000000"/>
        <rFont val="Noto Sans CJK SC"/>
        <family val="2"/>
      </rPr>
      <t xml:space="preserve">결함 목록</t>
    </r>
  </si>
  <si>
    <t xml:space="preserve">작성 방법</t>
  </si>
  <si>
    <r>
      <rPr>
        <sz val="10"/>
        <color rgb="FF000000"/>
        <rFont val="Noto Sans CJK SC"/>
        <family val="2"/>
      </rPr>
      <t xml:space="preserve">테스트 케이스 시트의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실제 결과</t>
    </r>
    <r>
      <rPr>
        <sz val="10"/>
        <color rgb="FF000000"/>
        <rFont val="맑은 고딕"/>
        <family val="0"/>
        <charset val="1"/>
      </rPr>
      <t xml:space="preserve">', '</t>
    </r>
    <r>
      <rPr>
        <sz val="10"/>
        <color rgb="FF000000"/>
        <rFont val="Noto Sans CJK SC"/>
        <family val="2"/>
      </rPr>
      <t xml:space="preserve">판정</t>
    </r>
    <r>
      <rPr>
        <sz val="10"/>
        <color rgb="FF000000"/>
        <rFont val="맑은 고딕"/>
        <family val="0"/>
        <charset val="1"/>
      </rPr>
      <t xml:space="preserve">', '</t>
    </r>
    <r>
      <rPr>
        <sz val="10"/>
        <color rgb="FF000000"/>
        <rFont val="Noto Sans CJK SC"/>
        <family val="2"/>
      </rPr>
      <t xml:space="preserve">실행일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칸만 입력하면 결과 요약이 자동 갱신됨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판정은 목록에서 선택</t>
    </r>
  </si>
  <si>
    <r>
      <rPr>
        <b val="true"/>
        <sz val="10"/>
        <color rgb="FFFFFFFF"/>
        <rFont val="Noto Sans CJK SC"/>
        <family val="2"/>
      </rPr>
      <t xml:space="preserve">시나리오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</si>
  <si>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시나리오명</t>
  </si>
  <si>
    <t xml:space="preserve">목적</t>
  </si>
  <si>
    <t xml:space="preserve">우선순위</t>
  </si>
  <si>
    <t xml:space="preserve">케이스 수</t>
  </si>
  <si>
    <t xml:space="preserve">TS-01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</si>
  <si>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통신 연결</t>
    </r>
  </si>
  <si>
    <r>
      <rPr>
        <sz val="10"/>
        <color rgb="FF000000"/>
        <rFont val="Noto Sans CJK SC"/>
        <family val="2"/>
      </rPr>
      <t xml:space="preserve">로봇이 폰 핫스팟에 접속하고 노트북과 </t>
    </r>
    <r>
      <rPr>
        <sz val="10"/>
        <color rgb="FF000000"/>
        <rFont val="맑은 고딕"/>
        <family val="0"/>
        <charset val="1"/>
      </rPr>
      <t xml:space="preserve">UDP</t>
    </r>
    <r>
      <rPr>
        <sz val="10"/>
        <color rgb="FF000000"/>
        <rFont val="Noto Sans CJK SC"/>
        <family val="2"/>
      </rPr>
      <t xml:space="preserve">로 명령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응답을 주고받는지 확인</t>
    </r>
  </si>
  <si>
    <t xml:space="preserve">상</t>
  </si>
  <si>
    <t xml:space="preserve">TS-02</t>
  </si>
  <si>
    <t xml:space="preserve">이동 제어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</si>
  <si>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명령으로 이동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정지가 신뢰성 있게 동작하는지 확인 </t>
    </r>
    <r>
      <rPr>
        <sz val="10"/>
        <color rgb="FF000000"/>
        <rFont val="맑은 고딕"/>
        <family val="0"/>
        <charset val="1"/>
      </rPr>
      <t xml:space="preserve">(keepalive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</si>
  <si>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TS-03</t>
  </si>
  <si>
    <r>
      <rPr>
        <sz val="10"/>
        <color rgb="FF000000"/>
        <rFont val="Noto Sans CJK SC"/>
        <family val="2"/>
      </rPr>
      <t xml:space="preserve">로봇 자체 안전장치</t>
    </r>
    <r>
      <rPr>
        <sz val="10"/>
        <color rgb="FF000000"/>
        <rFont val="맑은 고딕"/>
        <family val="0"/>
        <charset val="1"/>
      </rPr>
      <t xml:space="preserve">(Tier1)</t>
    </r>
  </si>
  <si>
    <t xml:space="preserve">노트북과 무관하게 로봇 스스로 위험 상황에서 정지하는지 확인</t>
  </si>
  <si>
    <t xml:space="preserve">TS-04</t>
  </si>
  <si>
    <t xml:space="preserve">카메라 스트리밍</t>
  </si>
  <si>
    <r>
      <rPr>
        <sz val="10"/>
        <color rgb="FF000000"/>
        <rFont val="맑은 고딕"/>
        <family val="0"/>
        <charset val="1"/>
      </rPr>
      <t xml:space="preserve">ESP32-CAM </t>
    </r>
    <r>
      <rPr>
        <sz val="10"/>
        <color rgb="FF000000"/>
        <rFont val="Noto Sans CJK SC"/>
        <family val="2"/>
      </rPr>
      <t xml:space="preserve">영상이 로봇 구동 중에도 안정적으로 유지되는지 확인</t>
    </r>
  </si>
  <si>
    <t xml:space="preserve">중</t>
  </si>
  <si>
    <t xml:space="preserve">TS-05</t>
  </si>
  <si>
    <t xml:space="preserve">에스코트 주행</t>
  </si>
  <si>
    <t xml:space="preserve">목적지까지 웨이포인트 주행과 장애물 회피가 동작하는지 확인</t>
  </si>
  <si>
    <t xml:space="preserve">TS-06</t>
  </si>
  <si>
    <t xml:space="preserve">도착 인터랙션</t>
  </si>
  <si>
    <t xml:space="preserve">도착 인사 동작과 터치센서 기반 다음 단계 전환이 동작하는지 확인</t>
  </si>
  <si>
    <t xml:space="preserve">TS-07</t>
  </si>
  <si>
    <t xml:space="preserve">출발지 복귀</t>
  </si>
  <si>
    <t xml:space="preserve">안내 후 출발지로 돌아와 다음 안내 준비 상태가 되는지 확인</t>
  </si>
  <si>
    <t xml:space="preserve">TS-08</t>
  </si>
  <si>
    <t xml:space="preserve">비상정지</t>
  </si>
  <si>
    <t xml:space="preserve">사용자가 이동 중 즉시 정지시킬 수 있는지 확인</t>
  </si>
  <si>
    <t xml:space="preserve">TS-09</t>
  </si>
  <si>
    <r>
      <rPr>
        <sz val="10"/>
        <color rgb="FF000000"/>
        <rFont val="맑은 고딕"/>
        <family val="0"/>
        <charset val="1"/>
      </rPr>
      <t xml:space="preserve">MQTT/DB 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</si>
  <si>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Noto Sans CJK SC"/>
        <family val="2"/>
      </rPr>
      <t xml:space="preserve">에스코트 상태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경고가 팀 표준 토픽으로 발행되고 </t>
    </r>
    <r>
      <rPr>
        <sz val="10"/>
        <color rgb="FF000000"/>
        <rFont val="맑은 고딕"/>
        <family val="0"/>
        <charset val="1"/>
      </rPr>
      <t xml:space="preserve">DB</t>
    </r>
    <r>
      <rPr>
        <sz val="10"/>
        <color rgb="FF000000"/>
        <rFont val="Noto Sans CJK SC"/>
        <family val="2"/>
      </rPr>
      <t xml:space="preserve">에 저장되는지 확인</t>
    </r>
  </si>
  <si>
    <t xml:space="preserve">TS-10</t>
  </si>
  <si>
    <t xml:space="preserve">공개 저장소 보안</t>
  </si>
  <si>
    <r>
      <rPr>
        <sz val="10"/>
        <color rgb="FF000000"/>
        <rFont val="맑은 고딕"/>
        <family val="0"/>
        <charset val="1"/>
      </rPr>
      <t xml:space="preserve">GitHub </t>
    </r>
    <r>
      <rPr>
        <sz val="10"/>
        <color rgb="FF000000"/>
        <rFont val="Noto Sans CJK SC"/>
        <family val="2"/>
      </rPr>
      <t xml:space="preserve">공개 저장소에 비밀번호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개인정보가 올라가지 않는지 확인</t>
    </r>
  </si>
  <si>
    <t xml:space="preserve">TS-11</t>
  </si>
  <si>
    <t xml:space="preserve">카메라 비전 인식</t>
  </si>
  <si>
    <r>
      <rPr>
        <sz val="10"/>
        <color rgb="FF000000"/>
        <rFont val="Noto Sans CJK SC"/>
        <family val="2"/>
      </rPr>
      <t xml:space="preserve">로봇 카메라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저시점</t>
    </r>
    <r>
      <rPr>
        <sz val="10"/>
        <color rgb="FF000000"/>
        <rFont val="맑은 고딕"/>
        <family val="0"/>
        <charset val="1"/>
      </rPr>
      <t xml:space="preserve">·240x240)</t>
    </r>
    <r>
      <rPr>
        <sz val="10"/>
        <color rgb="FF000000"/>
        <rFont val="Noto Sans CJK SC"/>
        <family val="2"/>
      </rPr>
      <t xml:space="preserve">로 출발지 표식을 안정적으로 인식하는지 확인</t>
    </r>
  </si>
  <si>
    <t xml:space="preserve">TC ID</t>
  </si>
  <si>
    <t xml:space="preserve">테스트 항목</t>
  </si>
  <si>
    <t xml:space="preserve">사전 조건</t>
  </si>
  <si>
    <t xml:space="preserve">테스트 절차</t>
  </si>
  <si>
    <t xml:space="preserve">입력 데이터</t>
  </si>
  <si>
    <t xml:space="preserve">기대 결과</t>
  </si>
  <si>
    <t xml:space="preserve">실제 결과</t>
  </si>
  <si>
    <t xml:space="preserve">판정</t>
  </si>
  <si>
    <t xml:space="preserve">실행일</t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</si>
  <si>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결함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</si>
  <si>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TC-001</t>
  </si>
  <si>
    <t xml:space="preserve">로봇 핫스팟 접속</t>
  </si>
  <si>
    <r>
      <rPr>
        <sz val="10"/>
        <color rgb="FF000000"/>
        <rFont val="Noto Sans CJK SC"/>
        <family val="2"/>
      </rPr>
      <t xml:space="preserve">폰 핫스팟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호환성 최대화</t>
    </r>
    <r>
      <rPr>
        <sz val="10"/>
        <color rgb="FF000000"/>
        <rFont val="맑은 고딕"/>
        <family val="0"/>
        <charset val="1"/>
      </rPr>
      <t xml:space="preserve">' ON, </t>
    </r>
    <r>
      <rPr>
        <sz val="10"/>
        <color rgb="FF000000"/>
        <rFont val="Noto Sans CJK SC"/>
        <family val="2"/>
      </rPr>
      <t xml:space="preserve">로봇에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업로드</t>
    </r>
  </si>
  <si>
    <r>
      <rPr>
        <sz val="10"/>
        <color rgb="FF000000"/>
        <rFont val="맑은 고딕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로봇 전원 </t>
    </r>
    <r>
      <rPr>
        <sz val="10"/>
        <color rgb="FF000000"/>
        <rFont val="맑은 고딕"/>
        <family val="0"/>
        <charset val="1"/>
      </rPr>
      <t xml:space="preserve">ON
2. </t>
    </r>
    <r>
      <rPr>
        <sz val="10"/>
        <color rgb="FF000000"/>
        <rFont val="Noto Sans CJK SC"/>
        <family val="2"/>
      </rPr>
      <t xml:space="preserve">시리얼 로그 확인</t>
    </r>
  </si>
  <si>
    <t xml:space="preserve">-</t>
  </si>
  <si>
    <r>
      <rPr>
        <sz val="10"/>
        <color rgb="FF000000"/>
        <rFont val="맑은 고딕"/>
        <family val="0"/>
        <charset val="1"/>
      </rPr>
      <t xml:space="preserve">'Socket setup success' </t>
    </r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맑은 고딕"/>
        <family val="0"/>
        <charset val="1"/>
      </rPr>
      <t xml:space="preserve">, IP </t>
    </r>
    <r>
      <rPr>
        <sz val="10"/>
        <color rgb="FF000000"/>
        <rFont val="Noto Sans CJK SC"/>
        <family val="2"/>
      </rPr>
      <t xml:space="preserve">할당</t>
    </r>
  </si>
  <si>
    <r>
      <rPr>
        <sz val="10"/>
        <color rgb="FF000000"/>
        <rFont val="맑은 고딕"/>
        <family val="0"/>
        <charset val="1"/>
      </rPr>
      <t xml:space="preserve">IP 172.20.10.6 </t>
    </r>
    <r>
      <rPr>
        <sz val="10"/>
        <color rgb="FF000000"/>
        <rFont val="Noto Sans CJK SC"/>
        <family val="2"/>
      </rPr>
      <t xml:space="preserve">할당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소켓 준비 완료 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차 </t>
    </r>
    <r>
      <rPr>
        <sz val="10"/>
        <color rgb="FF000000"/>
        <rFont val="맑은 고딕"/>
        <family val="0"/>
        <charset val="1"/>
      </rPr>
      <t xml:space="preserve">timeout </t>
    </r>
    <r>
      <rPr>
        <sz val="10"/>
        <color rgb="FF000000"/>
        <rFont val="Noto Sans CJK SC"/>
        <family val="2"/>
      </rPr>
      <t xml:space="preserve">후 재시도로 연결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</si>
  <si>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Pass</t>
  </si>
  <si>
    <t xml:space="preserve">2026-09-28</t>
  </si>
  <si>
    <t xml:space="preserve">TC-002</t>
  </si>
  <si>
    <t xml:space="preserve">배터리 조회 응답</t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</si>
  <si>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노트북 동일 핫스팟 접속</t>
    </r>
  </si>
  <si>
    <r>
      <rPr>
        <sz val="10"/>
        <color rgb="FF000000"/>
        <rFont val="맑은 고딕"/>
        <family val="0"/>
        <charset val="1"/>
      </rPr>
      <t xml:space="preserve">escort_wifi.py </t>
    </r>
    <r>
      <rPr>
        <sz val="10"/>
        <color rgb="FF000000"/>
        <rFont val="Noto Sans CJK SC"/>
        <family val="2"/>
      </rPr>
      <t xml:space="preserve">실행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시작 시 자동 조회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</si>
  <si>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CMD|6|$</t>
  </si>
  <si>
    <r>
      <rPr>
        <sz val="10"/>
        <color rgb="FF000000"/>
        <rFont val="맑은 고딕"/>
        <family val="0"/>
        <charset val="1"/>
      </rPr>
      <t xml:space="preserve">'CMD|6|{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맑은 고딕"/>
        <family val="0"/>
        <charset val="1"/>
      </rPr>
      <t xml:space="preserve">}|$' </t>
    </r>
    <r>
      <rPr>
        <sz val="10"/>
        <color rgb="FF000000"/>
        <rFont val="Noto Sans CJK SC"/>
        <family val="2"/>
      </rPr>
      <t xml:space="preserve">응답 수신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</si>
  <si>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배터리</t>
    </r>
    <r>
      <rPr>
        <sz val="10"/>
        <color rgb="FF000000"/>
        <rFont val="맑은 고딕"/>
        <family val="0"/>
        <charset val="1"/>
      </rPr>
      <t xml:space="preserve">: 12704.0' </t>
    </r>
    <r>
      <rPr>
        <sz val="10"/>
        <color rgb="FF000000"/>
        <rFont val="Noto Sans CJK SC"/>
        <family val="2"/>
      </rPr>
      <t xml:space="preserve">수신 </t>
    </r>
    <r>
      <rPr>
        <sz val="10"/>
        <color rgb="FF000000"/>
        <rFont val="맑은 고딕"/>
        <family val="0"/>
        <charset val="1"/>
      </rPr>
      <t xml:space="preserve">(mV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맑은 고딕"/>
        <family val="0"/>
        <charset val="1"/>
      </rPr>
      <t xml:space="preserve">, 12.7V)</t>
    </r>
  </si>
  <si>
    <t xml:space="preserve">TC-003</t>
  </si>
  <si>
    <t xml:space="preserve">거리센서 조회 응답</t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</si>
  <si>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</si>
  <si>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에스코트 이동 중 자동 조회 </t>
    </r>
    <r>
      <rPr>
        <sz val="10"/>
        <color rgb="FF000000"/>
        <rFont val="맑은 고딕"/>
        <family val="0"/>
        <charset val="1"/>
      </rPr>
      <t xml:space="preserve">(0.25</t>
    </r>
    <r>
      <rPr>
        <sz val="10"/>
        <color rgb="FF000000"/>
        <rFont val="Noto Sans CJK SC"/>
        <family val="2"/>
      </rPr>
      <t xml:space="preserve">초 주기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</si>
  <si>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CMD|4|1|$</t>
  </si>
  <si>
    <r>
      <rPr>
        <sz val="10"/>
        <color rgb="FF000000"/>
        <rFont val="맑은 고딕"/>
        <family val="0"/>
        <charset val="1"/>
      </rPr>
      <t xml:space="preserve">'CMD|4|{cm×10}|$' </t>
    </r>
    <r>
      <rPr>
        <sz val="10"/>
        <color rgb="FF000000"/>
        <rFont val="Noto Sans CJK SC"/>
        <family val="2"/>
      </rPr>
      <t xml:space="preserve">응답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장애물 판단에 사용</t>
    </r>
  </si>
  <si>
    <r>
      <rPr>
        <sz val="10"/>
        <color rgb="FF000000"/>
        <rFont val="Noto Sans CJK SC"/>
        <family val="2"/>
      </rPr>
      <t xml:space="preserve">응답 수신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장애물 감지 로직 정상 동작</t>
    </r>
  </si>
  <si>
    <t xml:space="preserve">TC-004</t>
  </si>
  <si>
    <t xml:space="preserve">터치센서 조회 응답</t>
  </si>
  <si>
    <t xml:space="preserve">도착 후 터치센서 누름</t>
  </si>
  <si>
    <t xml:space="preserve">CMD|11|1|$</t>
  </si>
  <si>
    <r>
      <rPr>
        <sz val="10"/>
        <color rgb="FF000000"/>
        <rFont val="맑은 고딕"/>
        <family val="0"/>
        <charset val="1"/>
      </rPr>
      <t xml:space="preserve">'CMD|11|1|$' </t>
    </r>
    <r>
      <rPr>
        <sz val="10"/>
        <color rgb="FF000000"/>
        <rFont val="Noto Sans CJK SC"/>
        <family val="2"/>
      </rPr>
      <t xml:space="preserve">응답 후 로봇 측 플래그 리셋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</si>
  <si>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즉시 복귀 단계 진입</t>
    </r>
  </si>
  <si>
    <t xml:space="preserve">TC-005</t>
  </si>
  <si>
    <r>
      <rPr>
        <sz val="10"/>
        <color rgb="FF000000"/>
        <rFont val="Noto Sans CJK SC"/>
        <family val="2"/>
      </rPr>
      <t xml:space="preserve">단시간 직진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</t>
    </r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</si>
  <si>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확보</t>
    </r>
  </si>
  <si>
    <r>
      <rPr>
        <sz val="10"/>
        <color rgb="FF000000"/>
        <rFont val="맑은 고딕"/>
        <family val="0"/>
        <charset val="1"/>
      </rPr>
      <t xml:space="preserve">wifi_move_test.py (2</t>
    </r>
    <r>
      <rPr>
        <sz val="10"/>
        <color rgb="FF000000"/>
        <rFont val="Noto Sans CJK SC"/>
        <family val="2"/>
      </rPr>
      <t xml:space="preserve">초 설정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실행</t>
    </r>
  </si>
  <si>
    <t xml:space="preserve">CMD|3|3|$ → CMD|3|0|$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</si>
  <si>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 직진 후 정지</t>
    </r>
  </si>
  <si>
    <r>
      <rPr>
        <sz val="10"/>
        <color rgb="FF000000"/>
        <rFont val="Noto Sans CJK SC"/>
        <family val="2"/>
      </rPr>
      <t xml:space="preserve">정상 동작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이동 루프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양보 수정 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</si>
  <si>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2026-09-23</t>
  </si>
  <si>
    <r>
      <rPr>
        <sz val="10"/>
        <color rgb="FF000000"/>
        <rFont val="Noto Sans CJK SC"/>
        <family val="2"/>
      </rPr>
      <t xml:space="preserve">이전 세션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이동 루프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양보</t>
    </r>
    <r>
      <rPr>
        <sz val="10"/>
        <color rgb="FF000000"/>
        <rFont val="맑은 고딕"/>
        <family val="0"/>
        <charset val="1"/>
      </rPr>
      <t xml:space="preserve">(sleep 0.01) </t>
    </r>
    <r>
      <rPr>
        <sz val="10"/>
        <color rgb="FF000000"/>
        <rFont val="Noto Sans CJK SC"/>
        <family val="2"/>
      </rPr>
      <t xml:space="preserve">수정 후 통과</t>
    </r>
  </si>
  <si>
    <t xml:space="preserve">TC-006</t>
  </si>
  <si>
    <r>
      <rPr>
        <sz val="10"/>
        <color rgb="FF000000"/>
        <rFont val="맑은 고딕"/>
        <family val="0"/>
        <charset val="1"/>
      </rPr>
      <t xml:space="preserve">keepalive </t>
    </r>
    <r>
      <rPr>
        <sz val="10"/>
        <color rgb="FF000000"/>
        <rFont val="Noto Sans CJK SC"/>
        <family val="2"/>
      </rPr>
      <t xml:space="preserve">연속 이동</t>
    </r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</si>
  <si>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3m </t>
    </r>
    <r>
      <rPr>
        <sz val="10"/>
        <color rgb="FF000000"/>
        <rFont val="Noto Sans CJK SC"/>
        <family val="2"/>
      </rPr>
      <t xml:space="preserve">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 스트리밍 </t>
    </r>
    <r>
      <rPr>
        <sz val="10"/>
        <color rgb="FF000000"/>
        <rFont val="맑은 고딕"/>
        <family val="0"/>
        <charset val="1"/>
      </rPr>
      <t xml:space="preserve">ON</t>
    </r>
  </si>
  <si>
    <r>
      <rPr>
        <sz val="10"/>
        <color rgb="FF000000"/>
        <rFont val="맑은 고딕"/>
        <family val="0"/>
        <charset val="1"/>
      </rPr>
      <t xml:space="preserve">wifi_move_test.py (WATCHDOG_TEST=False)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</si>
  <si>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직진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0.3</t>
    </r>
    <r>
      <rPr>
        <sz val="10"/>
        <color rgb="FF000000"/>
        <rFont val="Noto Sans CJK SC"/>
        <family val="2"/>
      </rPr>
      <t xml:space="preserve">초 재전송</t>
    </r>
  </si>
  <si>
    <r>
      <rPr>
        <sz val="10"/>
        <color rgb="FF000000"/>
        <rFont val="Noto Sans CJK SC"/>
        <family val="2"/>
      </rPr>
      <t xml:space="preserve">매회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끝까지 이동 후 정지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중간 끊김 없음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</si>
  <si>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모두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이동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회당 명령 </t>
    </r>
    <r>
      <rPr>
        <sz val="10"/>
        <color rgb="FF000000"/>
        <rFont val="맑은 고딕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회 전송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정상 정지</t>
    </r>
  </si>
  <si>
    <t xml:space="preserve">TC-007</t>
  </si>
  <si>
    <t xml:space="preserve">정지 명령 신뢰성</t>
  </si>
  <si>
    <r>
      <rPr>
        <sz val="10"/>
        <color rgb="FF000000"/>
        <rFont val="맑은 고딕"/>
        <family val="0"/>
        <charset val="1"/>
      </rPr>
      <t xml:space="preserve">TC-006 </t>
    </r>
    <r>
      <rPr>
        <sz val="10"/>
        <color rgb="FF000000"/>
        <rFont val="Noto Sans CJK SC"/>
        <family val="2"/>
      </rPr>
      <t xml:space="preserve">수행 중</t>
    </r>
  </si>
  <si>
    <r>
      <rPr>
        <sz val="10"/>
        <color rgb="FF000000"/>
        <rFont val="Noto Sans CJK SC"/>
        <family val="2"/>
      </rPr>
      <t xml:space="preserve">이동 종료 시 정지 명령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전송 확인</t>
    </r>
  </si>
  <si>
    <t xml:space="preserve">CMD|3|0|$ × 3</t>
  </si>
  <si>
    <r>
      <rPr>
        <sz val="10"/>
        <color rgb="FF000000"/>
        <rFont val="맑은 고딕"/>
        <family val="0"/>
        <charset val="1"/>
      </rPr>
      <t xml:space="preserve">UDP </t>
    </r>
    <r>
      <rPr>
        <sz val="10"/>
        <color rgb="FF000000"/>
        <rFont val="Noto Sans CJK SC"/>
        <family val="2"/>
      </rPr>
      <t xml:space="preserve">유실 없이 즉시 정지</t>
    </r>
  </si>
  <si>
    <t xml:space="preserve">매회 정상 정지</t>
  </si>
  <si>
    <r>
      <rPr>
        <sz val="10"/>
        <color rgb="FF000000"/>
        <rFont val="맑은 고딕"/>
        <family val="0"/>
        <charset val="1"/>
      </rPr>
      <t xml:space="preserve">UDP </t>
    </r>
    <r>
      <rPr>
        <sz val="10"/>
        <color rgb="FF000000"/>
        <rFont val="Noto Sans CJK SC"/>
        <family val="2"/>
      </rPr>
      <t xml:space="preserve">유실 대비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전송 설계</t>
    </r>
  </si>
  <si>
    <t xml:space="preserve">TC-008</t>
  </si>
  <si>
    <t xml:space="preserve">통신두절 자동정지</t>
  </si>
  <si>
    <r>
      <rPr>
        <sz val="10"/>
        <color rgb="FF000000"/>
        <rFont val="Noto Sans CJK SC"/>
        <family val="2"/>
      </rPr>
      <t xml:space="preserve">수정된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업로드</t>
    </r>
  </si>
  <si>
    <r>
      <rPr>
        <sz val="10"/>
        <color rgb="FF000000"/>
        <rFont val="맑은 고딕"/>
        <family val="0"/>
        <charset val="1"/>
      </rPr>
      <t xml:space="preserve">wifi_move_test.py (WATCHDOG_TEST=True): </t>
    </r>
    <r>
      <rPr>
        <sz val="10"/>
        <color rgb="FF000000"/>
        <rFont val="Noto Sans CJK SC"/>
        <family val="2"/>
      </rPr>
      <t xml:space="preserve">이동 명령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회만 전송</t>
    </r>
  </si>
  <si>
    <r>
      <rPr>
        <sz val="10"/>
        <color rgb="FF000000"/>
        <rFont val="맑은 고딕"/>
        <family val="0"/>
        <charset val="1"/>
      </rPr>
      <t xml:space="preserve">CMD|3|3|$ 1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</si>
  <si>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명령 끊긴 후 약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내 로봇 스스로 정지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</si>
  <si>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후 자동 정지 확인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</si>
  <si>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D-001, D-002 </t>
    </r>
    <r>
      <rPr>
        <sz val="10"/>
        <color rgb="FF000000"/>
        <rFont val="Noto Sans CJK SC"/>
        <family val="2"/>
      </rPr>
      <t xml:space="preserve">수정 후 통과</t>
    </r>
  </si>
  <si>
    <t xml:space="preserve">TC-009</t>
  </si>
  <si>
    <r>
      <rPr>
        <sz val="10"/>
        <color rgb="FF000000"/>
        <rFont val="Noto Sans CJK SC"/>
        <family val="2"/>
      </rPr>
      <t xml:space="preserve">근접 즉시정지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</si>
  <si>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이내에 장애물 배치</t>
    </r>
  </si>
  <si>
    <r>
      <rPr>
        <sz val="10"/>
        <color rgb="FF000000"/>
        <rFont val="Noto Sans CJK SC"/>
        <family val="2"/>
      </rPr>
      <t xml:space="preserve">전진 명령 </t>
    </r>
    <r>
      <rPr>
        <sz val="10"/>
        <color rgb="FF000000"/>
        <rFont val="맑은 고딕"/>
        <family val="0"/>
        <charset val="1"/>
      </rPr>
      <t xml:space="preserve">keepalive</t>
    </r>
    <r>
      <rPr>
        <sz val="10"/>
        <color rgb="FF000000"/>
        <rFont val="Noto Sans CJK SC"/>
        <family val="2"/>
      </rPr>
      <t xml:space="preserve">로 지속 전송</t>
    </r>
  </si>
  <si>
    <r>
      <rPr>
        <sz val="10"/>
        <color rgb="FF000000"/>
        <rFont val="맑은 고딕"/>
        <family val="0"/>
        <charset val="1"/>
      </rPr>
      <t xml:space="preserve">CMD|3|3|$ </t>
    </r>
    <r>
      <rPr>
        <sz val="10"/>
        <color rgb="FF000000"/>
        <rFont val="Noto Sans CJK SC"/>
        <family val="2"/>
      </rPr>
      <t xml:space="preserve">반복</t>
    </r>
  </si>
  <si>
    <r>
      <rPr>
        <sz val="10"/>
        <color rgb="FF000000"/>
        <rFont val="Noto Sans CJK SC"/>
        <family val="2"/>
      </rPr>
      <t xml:space="preserve">거리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미만 시 로봇 스스로 정지</t>
    </r>
  </si>
  <si>
    <t xml:space="preserve">Not Run</t>
  </si>
  <si>
    <r>
      <rPr>
        <sz val="10"/>
        <color rgb="FF000000"/>
        <rFont val="Noto Sans CJK SC"/>
        <family val="2"/>
      </rPr>
      <t xml:space="preserve">에스코트 회피</t>
    </r>
    <r>
      <rPr>
        <sz val="10"/>
        <color rgb="FF000000"/>
        <rFont val="맑은 고딕"/>
        <family val="0"/>
        <charset val="1"/>
      </rPr>
      <t xml:space="preserve">(15cm)</t>
    </r>
    <r>
      <rPr>
        <sz val="10"/>
        <color rgb="FF000000"/>
        <rFont val="Noto Sans CJK SC"/>
        <family val="2"/>
      </rPr>
      <t xml:space="preserve">가 먼저 동작하므로 별도 테스트 필요</t>
    </r>
  </si>
  <si>
    <t xml:space="preserve">TC-010</t>
  </si>
  <si>
    <t xml:space="preserve">근접 상태 후진 허용</t>
  </si>
  <si>
    <r>
      <rPr>
        <sz val="10"/>
        <color rgb="FF000000"/>
        <rFont val="Noto Sans CJK SC"/>
        <family val="2"/>
      </rPr>
      <t xml:space="preserve">로봇 전방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이내 장애물</t>
    </r>
  </si>
  <si>
    <t xml:space="preserve">후진 명령 전송</t>
  </si>
  <si>
    <t xml:space="preserve">CMD|3|7|$</t>
  </si>
  <si>
    <r>
      <rPr>
        <sz val="10"/>
        <color rgb="FF000000"/>
        <rFont val="Noto Sans CJK SC"/>
        <family val="2"/>
      </rPr>
      <t xml:space="preserve">근접정지에 막히지 않고 후진 가능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회피 동작 보장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</si>
  <si>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TC-011</t>
  </si>
  <si>
    <t xml:space="preserve">브라우저 스트리밍 접속</t>
  </si>
  <si>
    <r>
      <rPr>
        <sz val="10"/>
        <color rgb="FF000000"/>
        <rFont val="Noto Sans CJK SC"/>
        <family val="2"/>
      </rPr>
      <t xml:space="preserve">카메라 핫스팟 접속 </t>
    </r>
    <r>
      <rPr>
        <sz val="10"/>
        <color rgb="FF000000"/>
        <rFont val="맑은 고딕"/>
        <family val="0"/>
        <charset val="1"/>
      </rPr>
      <t xml:space="preserve">(172.20.10.7)</t>
    </r>
  </si>
  <si>
    <r>
      <rPr>
        <sz val="10"/>
        <color rgb="FF000000"/>
        <rFont val="Noto Sans CJK SC"/>
        <family val="2"/>
      </rPr>
      <t xml:space="preserve">브라우저에서 </t>
    </r>
    <r>
      <rPr>
        <sz val="10"/>
        <color rgb="FF000000"/>
        <rFont val="맑은 고딕"/>
        <family val="0"/>
        <charset val="1"/>
      </rPr>
      <t xml:space="preserve">http://172.20.10.7 </t>
    </r>
    <r>
      <rPr>
        <sz val="10"/>
        <color rgb="FF000000"/>
        <rFont val="Noto Sans CJK SC"/>
        <family val="2"/>
      </rPr>
      <t xml:space="preserve">접속 → </t>
    </r>
    <r>
      <rPr>
        <sz val="10"/>
        <color rgb="FF000000"/>
        <rFont val="맑은 고딕"/>
        <family val="0"/>
        <charset val="1"/>
      </rPr>
      <t xml:space="preserve">Start Stream</t>
    </r>
  </si>
  <si>
    <t xml:space="preserve">실시간 영상 표시</t>
  </si>
  <si>
    <t xml:space="preserve">영상 정상 표시</t>
  </si>
  <si>
    <r>
      <rPr>
        <sz val="10"/>
        <color rgb="FF000000"/>
        <rFont val="맑은 고딕"/>
        <family val="0"/>
        <charset val="1"/>
      </rPr>
      <t xml:space="preserve">RGB565 </t>
    </r>
    <r>
      <rPr>
        <sz val="10"/>
        <color rgb="FF000000"/>
        <rFont val="Noto Sans CJK SC"/>
        <family val="2"/>
      </rPr>
      <t xml:space="preserve">모드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센서 </t>
    </r>
    <r>
      <rPr>
        <sz val="10"/>
        <color rgb="FF000000"/>
        <rFont val="맑은 고딕"/>
        <family val="0"/>
        <charset val="1"/>
      </rPr>
      <t xml:space="preserve">JPEG </t>
    </r>
    <r>
      <rPr>
        <sz val="10"/>
        <color rgb="FF000000"/>
        <rFont val="Noto Sans CJK SC"/>
        <family val="2"/>
      </rPr>
      <t xml:space="preserve">설정 미적용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</si>
  <si>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TC-012</t>
  </si>
  <si>
    <t xml:space="preserve">영상 방향 보정</t>
  </si>
  <si>
    <r>
      <rPr>
        <sz val="10"/>
        <color rgb="FF000000"/>
        <rFont val="맑은 고딕"/>
        <family val="0"/>
        <charset val="1"/>
      </rPr>
      <t xml:space="preserve">TC-011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</si>
  <si>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맑은 고딕"/>
        <family val="0"/>
        <charset val="1"/>
      </rPr>
      <t xml:space="preserve">V-Flip </t>
    </r>
    <r>
      <rPr>
        <sz val="10"/>
        <color rgb="FF000000"/>
        <rFont val="Noto Sans CJK SC"/>
        <family val="2"/>
      </rPr>
      <t xml:space="preserve">설정 적용</t>
    </r>
  </si>
  <si>
    <t xml:space="preserve">영상 상하 방향 정상</t>
  </si>
  <si>
    <t xml:space="preserve">정상 방향으로 보정</t>
  </si>
  <si>
    <t xml:space="preserve">펌웨어 코드에 고정 여부 확인 필요</t>
  </si>
  <si>
    <t xml:space="preserve">TC-013</t>
  </si>
  <si>
    <t xml:space="preserve">로봇 구동 중 동시작동</t>
  </si>
  <si>
    <r>
      <rPr>
        <sz val="10"/>
        <color rgb="FF000000"/>
        <rFont val="맑은 고딕"/>
        <family val="0"/>
        <charset val="1"/>
      </rPr>
      <t xml:space="preserve">TC-011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로봇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노트북 동일 핫스팟</t>
    </r>
  </si>
  <si>
    <r>
      <rPr>
        <sz val="10"/>
        <color rgb="FF000000"/>
        <rFont val="Noto Sans CJK SC"/>
        <family val="2"/>
      </rPr>
      <t xml:space="preserve">스트리밍 켠 상태로 </t>
    </r>
    <r>
      <rPr>
        <sz val="10"/>
        <color rgb="FF000000"/>
        <rFont val="맑은 고딕"/>
        <family val="0"/>
        <charset val="1"/>
      </rPr>
      <t xml:space="preserve">TC-006 </t>
    </r>
    <r>
      <rPr>
        <sz val="10"/>
        <color rgb="FF000000"/>
        <rFont val="Noto Sans CJK SC"/>
        <family val="2"/>
      </rPr>
      <t xml:space="preserve">수행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</si>
  <si>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Noto Sans CJK SC"/>
        <family val="2"/>
      </rPr>
      <t xml:space="preserve">회 이동</t>
    </r>
  </si>
  <si>
    <r>
      <rPr>
        <sz val="10"/>
        <color rgb="FF000000"/>
        <rFont val="Noto Sans CJK SC"/>
        <family val="2"/>
      </rPr>
      <t xml:space="preserve">영상 끊김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카메라 리셋 없음</t>
    </r>
  </si>
  <si>
    <r>
      <rPr>
        <sz val="10"/>
        <color rgb="FF000000"/>
        <rFont val="Noto Sans CJK SC"/>
        <family val="2"/>
      </rPr>
      <t xml:space="preserve">영상 유지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리셋 없음</t>
    </r>
  </si>
  <si>
    <r>
      <rPr>
        <sz val="10"/>
        <color rgb="FF000000"/>
        <rFont val="Noto Sans CJK SC"/>
        <family val="2"/>
      </rPr>
      <t xml:space="preserve">이전 </t>
    </r>
    <r>
      <rPr>
        <sz val="10"/>
        <color rgb="FF000000"/>
        <rFont val="맑은 고딕"/>
        <family val="0"/>
        <charset val="1"/>
      </rPr>
      <t xml:space="preserve">BLE+</t>
    </r>
    <r>
      <rPr>
        <sz val="10"/>
        <color rgb="FF000000"/>
        <rFont val="Noto Sans CJK SC"/>
        <family val="2"/>
      </rPr>
      <t xml:space="preserve">카메라 핫스팟 환경의 리셋 문제 해소</t>
    </r>
  </si>
  <si>
    <t xml:space="preserve">TC-014</t>
  </si>
  <si>
    <t xml:space="preserve">장시간 안정성</t>
  </si>
  <si>
    <r>
      <rPr>
        <sz val="10"/>
        <color rgb="FF000000"/>
        <rFont val="맑은 고딕"/>
        <family val="0"/>
        <charset val="1"/>
      </rPr>
      <t xml:space="preserve">TC-013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</si>
  <si>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스트리밍 유지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주기적 이동 명령</t>
    </r>
    <r>
      <rPr>
        <sz val="10"/>
        <color rgb="FF000000"/>
        <rFont val="맑은 고딕"/>
        <family val="0"/>
        <charset val="1"/>
      </rPr>
      <t xml:space="preserve">, 10</t>
    </r>
    <r>
      <rPr>
        <sz val="10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</si>
  <si>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분간 영상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 모두 유지</t>
    </r>
  </si>
  <si>
    <t xml:space="preserve">TC-015</t>
  </si>
  <si>
    <t xml:space="preserve">웨이포인트 목적지 이동</t>
  </si>
  <si>
    <r>
      <rPr>
        <sz val="10"/>
        <color rgb="FF000000"/>
        <rFont val="맑은 고딕"/>
        <family val="0"/>
        <charset val="1"/>
      </rPr>
      <t xml:space="preserve">docker compose up, escort_wifi.py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</si>
  <si>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Noto Sans CJK SC"/>
        <family val="2"/>
      </rPr>
      <t xml:space="preserve">목적지 </t>
    </r>
    <r>
      <rPr>
        <sz val="10"/>
        <color rgb="FF000000"/>
        <rFont val="맑은 고딕"/>
        <family val="0"/>
        <charset val="1"/>
      </rPr>
      <t xml:space="preserve">'lobby'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</si>
  <si>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맑은 고딕"/>
        <family val="0"/>
        <charset val="1"/>
      </rPr>
      <t xml:space="preserve">lobby (</t>
    </r>
    <r>
      <rPr>
        <sz val="10"/>
        <color rgb="FF000000"/>
        <rFont val="Noto Sans CJK SC"/>
        <family val="2"/>
      </rPr>
      <t xml:space="preserve">직진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</si>
  <si>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경로대로 이동 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출력</t>
    </r>
  </si>
  <si>
    <r>
      <rPr>
        <sz val="10"/>
        <color rgb="FF000000"/>
        <rFont val="Noto Sans CJK SC"/>
        <family val="2"/>
      </rPr>
      <t xml:space="preserve">정상 도착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회 수행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</si>
  <si>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TC-016</t>
  </si>
  <si>
    <t xml:space="preserve">장애물 감지 및 회피</t>
  </si>
  <si>
    <t xml:space="preserve">전방 경로에 장애물 배치</t>
  </si>
  <si>
    <t xml:space="preserve">목적지 이동 중 장애물 접근</t>
  </si>
  <si>
    <t xml:space="preserve">OBSTACLE_THRESHOLD 15cm</t>
  </si>
  <si>
    <r>
      <rPr>
        <sz val="10"/>
        <color rgb="FF000000"/>
        <rFont val="Noto Sans CJK SC"/>
        <family val="2"/>
      </rPr>
      <t xml:space="preserve">감지 → </t>
    </r>
    <r>
      <rPr>
        <sz val="10"/>
        <color rgb="FF000000"/>
        <rFont val="맑은 고딕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자 회피 → 원래 방향으로 이동 재개</t>
    </r>
  </si>
  <si>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감지 →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회피 성공 → 이동 재개</t>
    </r>
  </si>
  <si>
    <r>
      <rPr>
        <sz val="10"/>
        <color rgb="FF000000"/>
        <rFont val="Noto Sans CJK SC"/>
        <family val="2"/>
      </rPr>
      <t xml:space="preserve">장애물 실물 유무 기록 필요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오감지 여부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</si>
  <si>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TC-017</t>
  </si>
  <si>
    <t xml:space="preserve">회피 반복 실패 시 중단</t>
  </si>
  <si>
    <t xml:space="preserve">넓은 벽 등 회피 불가 장애물</t>
  </si>
  <si>
    <t xml:space="preserve">목적지 이동 중 벽 접근</t>
  </si>
  <si>
    <t xml:space="preserve">MAX_AVOID_ATTEMPTS 4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</si>
  <si>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회 실패 시 에스코트 중단</t>
    </r>
    <r>
      <rPr>
        <sz val="10"/>
        <color rgb="FF000000"/>
        <rFont val="맑은 고딕"/>
        <family val="0"/>
        <charset val="1"/>
      </rPr>
      <t xml:space="preserve">, escort_lost </t>
    </r>
    <r>
      <rPr>
        <sz val="10"/>
        <color rgb="FF000000"/>
        <rFont val="Noto Sans CJK SC"/>
        <family val="2"/>
      </rPr>
      <t xml:space="preserve">경고 발행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남은 경로 미진행</t>
    </r>
  </si>
  <si>
    <r>
      <rPr>
        <sz val="10"/>
        <color rgb="FF000000"/>
        <rFont val="Noto Sans CJK SC"/>
        <family val="2"/>
      </rPr>
      <t xml:space="preserve">가상 로봇 시뮬레이션만 확인 </t>
    </r>
    <r>
      <rPr>
        <sz val="10"/>
        <color rgb="FF000000"/>
        <rFont val="맑은 고딕"/>
        <family val="0"/>
        <charset val="1"/>
      </rPr>
      <t xml:space="preserve">(D-006 </t>
    </r>
    <r>
      <rPr>
        <sz val="10"/>
        <color rgb="FF000000"/>
        <rFont val="Noto Sans CJK SC"/>
        <family val="2"/>
      </rPr>
      <t xml:space="preserve">수정분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</si>
  <si>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TC-018</t>
  </si>
  <si>
    <t xml:space="preserve">다중 스텝 경로</t>
  </si>
  <si>
    <r>
      <rPr>
        <sz val="10"/>
        <color rgb="FF000000"/>
        <rFont val="맑은 고딕"/>
        <family val="0"/>
        <charset val="1"/>
      </rPr>
      <t xml:space="preserve">TC-015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</si>
  <si>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목적지 </t>
    </r>
    <r>
      <rPr>
        <sz val="10"/>
        <color rgb="FF000000"/>
        <rFont val="맑은 고딕"/>
        <family val="0"/>
        <charset val="1"/>
      </rPr>
      <t xml:space="preserve">'room_a', 'room_b'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</si>
  <si>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Noto Sans CJK SC"/>
        <family val="2"/>
      </rPr>
      <t xml:space="preserve">직진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회전 조합</t>
    </r>
  </si>
  <si>
    <t xml:space="preserve">각 스텝 순서대로 수행 후 도착</t>
  </si>
  <si>
    <t xml:space="preserve">TC-019</t>
  </si>
  <si>
    <t xml:space="preserve">도착 인사 동작</t>
  </si>
  <si>
    <t xml:space="preserve">목적지 도착 대기</t>
  </si>
  <si>
    <t xml:space="preserve">CMD|2|1|8|$</t>
  </si>
  <si>
    <r>
      <rPr>
        <sz val="10"/>
        <color rgb="FF000000"/>
        <rFont val="맑은 고딕"/>
        <family val="0"/>
        <charset val="1"/>
      </rPr>
      <t xml:space="preserve">scrape_a_bow </t>
    </r>
    <r>
      <rPr>
        <sz val="10"/>
        <color rgb="FF000000"/>
        <rFont val="Noto Sans CJK SC"/>
        <family val="2"/>
      </rPr>
      <t xml:space="preserve">동작 재생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</si>
  <si>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누락 발생 → 원인 수정 후 재시험 필요</t>
    </r>
  </si>
  <si>
    <t xml:space="preserve">Fail</t>
  </si>
  <si>
    <t xml:space="preserve">D-003, D-004</t>
  </si>
  <si>
    <t xml:space="preserve">TC-020</t>
  </si>
  <si>
    <t xml:space="preserve">터치 시 즉시 복귀</t>
  </si>
  <si>
    <t xml:space="preserve">도착 후 대기 상태</t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</si>
  <si>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초 이내 터치센서 누름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</si>
  <si>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후 즉시 복귀 시작</t>
    </r>
  </si>
  <si>
    <r>
      <rPr>
        <sz val="10"/>
        <color rgb="FF000000"/>
        <rFont val="Noto Sans CJK SC"/>
        <family val="2"/>
      </rPr>
      <t xml:space="preserve">터치하지 않았는데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출력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오감지</t>
    </r>
    <r>
      <rPr>
        <sz val="10"/>
        <color rgb="FF000000"/>
        <rFont val="맑은 고딕"/>
        <family val="0"/>
        <charset val="1"/>
      </rPr>
      <t xml:space="preserve">) - </t>
    </r>
    <r>
      <rPr>
        <sz val="10"/>
        <color rgb="FF000000"/>
        <rFont val="Noto Sans CJK SC"/>
        <family val="2"/>
      </rPr>
      <t xml:space="preserve">초기 </t>
    </r>
    <r>
      <rPr>
        <sz val="10"/>
        <color rgb="FF000000"/>
        <rFont val="맑은 고딕"/>
        <family val="0"/>
        <charset val="1"/>
      </rPr>
      <t xml:space="preserve">Pass </t>
    </r>
    <r>
      <rPr>
        <sz val="10"/>
        <color rgb="FF000000"/>
        <rFont val="Noto Sans CJK SC"/>
        <family val="2"/>
      </rPr>
      <t xml:space="preserve">판정 정정</t>
    </r>
  </si>
  <si>
    <t xml:space="preserve">D-011</t>
  </si>
  <si>
    <t xml:space="preserve">TC-021</t>
  </si>
  <si>
    <t xml:space="preserve">터치 없음 타임아웃</t>
  </si>
  <si>
    <t xml:space="preserve">터치하지 않고 대기</t>
  </si>
  <si>
    <t xml:space="preserve">DWELL_SECONDS 8</t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</si>
  <si>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초 후 자동으로 복귀 시작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</si>
  <si>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시간 초과로 복귀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출력 후 복귀</t>
    </r>
  </si>
  <si>
    <t xml:space="preserve">TC-022</t>
  </si>
  <si>
    <t xml:space="preserve">도착 전 터치 기록 무시</t>
  </si>
  <si>
    <t xml:space="preserve">이동 중 터치센서 누름</t>
  </si>
  <si>
    <t xml:space="preserve">이동 중 터치 → 도착 후 대기</t>
  </si>
  <si>
    <r>
      <rPr>
        <sz val="10"/>
        <color rgb="FF000000"/>
        <rFont val="Noto Sans CJK SC"/>
        <family val="2"/>
      </rPr>
      <t xml:space="preserve">도착 전 터치는 무시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후 터치만 인정</t>
    </r>
  </si>
  <si>
    <r>
      <rPr>
        <sz val="10"/>
        <color rgb="FF000000"/>
        <rFont val="맑은 고딕"/>
        <family val="0"/>
        <charset val="1"/>
      </rPr>
      <t xml:space="preserve">D-009 </t>
    </r>
    <r>
      <rPr>
        <sz val="10"/>
        <color rgb="FF000000"/>
        <rFont val="Noto Sans CJK SC"/>
        <family val="2"/>
      </rPr>
      <t xml:space="preserve">수정분</t>
    </r>
  </si>
  <si>
    <t xml:space="preserve">TC-023</t>
  </si>
  <si>
    <t xml:space="preserve">출발지 복귀 위치</t>
  </si>
  <si>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대기 후 복귀 과정 관찰</t>
    </r>
  </si>
  <si>
    <t xml:space="preserve">lobby</t>
  </si>
  <si>
    <r>
      <rPr>
        <sz val="10"/>
        <color rgb="FF000000"/>
        <rFont val="Noto Sans CJK SC"/>
        <family val="2"/>
      </rPr>
      <t xml:space="preserve">출발 위치 근처로 복귀 후 </t>
    </r>
    <r>
      <rPr>
        <sz val="10"/>
        <color rgb="FF000000"/>
        <rFont val="맑은 고딕"/>
        <family val="0"/>
        <charset val="1"/>
      </rPr>
      <t xml:space="preserve">idle</t>
    </r>
  </si>
  <si>
    <r>
      <rPr>
        <sz val="10"/>
        <color rgb="FF000000"/>
        <rFont val="Noto Sans CJK SC"/>
        <family val="2"/>
      </rPr>
      <t xml:space="preserve">방향 전환 없이 같은 방향으로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 더 전진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출발지에서 약 </t>
    </r>
    <r>
      <rPr>
        <sz val="10"/>
        <color rgb="FF000000"/>
        <rFont val="맑은 고딕"/>
        <family val="0"/>
        <charset val="1"/>
      </rPr>
      <t xml:space="preserve">1.3m </t>
    </r>
    <r>
      <rPr>
        <sz val="10"/>
        <color rgb="FF000000"/>
        <rFont val="Noto Sans CJK SC"/>
        <family val="2"/>
      </rPr>
      <t xml:space="preserve">이탈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</si>
  <si>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D-005</t>
  </si>
  <si>
    <t xml:space="preserve">TC-024</t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</si>
  <si>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강좌회전 이동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</si>
  <si>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D-005 </t>
    </r>
    <r>
      <rPr>
        <sz val="10"/>
        <color rgb="FF000000"/>
        <rFont val="Noto Sans CJK SC"/>
        <family val="2"/>
      </rPr>
      <t xml:space="preserve">조치 적용</t>
    </r>
  </si>
  <si>
    <r>
      <rPr>
        <sz val="10"/>
        <color rgb="FF000000"/>
        <rFont val="Noto Sans CJK SC"/>
        <family val="2"/>
      </rPr>
      <t xml:space="preserve">목적지 입력에 </t>
    </r>
    <r>
      <rPr>
        <sz val="10"/>
        <color rgb="FF000000"/>
        <rFont val="맑은 고딕"/>
        <family val="0"/>
        <charset val="1"/>
      </rPr>
      <t xml:space="preserve">'uturn'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</si>
  <si>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맑은 고딕"/>
        <family val="0"/>
        <charset val="1"/>
      </rPr>
      <t xml:space="preserve">dir 5, 4.5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</si>
  <si>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반경 작게 약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</t>
    </r>
  </si>
  <si>
    <t xml:space="preserve">회전 반경이 너무 커서 출발지 복귀 불가</t>
  </si>
  <si>
    <t xml:space="preserve">D-007</t>
  </si>
  <si>
    <t xml:space="preserve">TC-025</t>
  </si>
  <si>
    <r>
      <rPr>
        <sz val="10"/>
        <color rgb="FF000000"/>
        <rFont val="맑은 고딕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턴 방향 전환</t>
    </r>
  </si>
  <si>
    <r>
      <rPr>
        <sz val="10"/>
        <color rgb="FF000000"/>
        <rFont val="Noto Sans CJK SC"/>
        <family val="2"/>
      </rPr>
      <t xml:space="preserve">후진 회전</t>
    </r>
    <r>
      <rPr>
        <sz val="10"/>
        <color rgb="FF000000"/>
        <rFont val="맑은 고딕"/>
        <family val="0"/>
        <charset val="1"/>
      </rPr>
      <t xml:space="preserve">(dir 6/8) </t>
    </r>
    <r>
      <rPr>
        <sz val="10"/>
        <color rgb="FF000000"/>
        <rFont val="Noto Sans CJK SC"/>
        <family val="2"/>
      </rPr>
      <t xml:space="preserve">방향 실측 완료</t>
    </r>
  </si>
  <si>
    <r>
      <rPr>
        <sz val="10"/>
        <color rgb="FF000000"/>
        <rFont val="Noto Sans CJK SC"/>
        <family val="2"/>
      </rPr>
      <t xml:space="preserve">전진좌회전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후진회전 교대 반복</t>
    </r>
  </si>
  <si>
    <t xml:space="preserve">TBD</t>
  </si>
  <si>
    <r>
      <rPr>
        <sz val="10"/>
        <color rgb="FF000000"/>
        <rFont val="Noto Sans CJK SC"/>
        <family val="2"/>
      </rPr>
      <t xml:space="preserve">좁은 공간에서 약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</t>
    </r>
  </si>
  <si>
    <r>
      <rPr>
        <sz val="10"/>
        <color rgb="FF000000"/>
        <rFont val="Noto Sans CJK SC"/>
        <family val="2"/>
      </rPr>
      <t xml:space="preserve">경로 기록 모드</t>
    </r>
    <r>
      <rPr>
        <sz val="10"/>
        <color rgb="FF000000"/>
        <rFont val="맑은 고딕"/>
        <family val="0"/>
        <charset val="1"/>
      </rPr>
      <t xml:space="preserve">(TC-037) </t>
    </r>
    <r>
      <rPr>
        <sz val="10"/>
        <color rgb="FF000000"/>
        <rFont val="Noto Sans CJK SC"/>
        <family val="2"/>
      </rPr>
      <t xml:space="preserve">도입으로 보류</t>
    </r>
  </si>
  <si>
    <t xml:space="preserve">TC-026</t>
  </si>
  <si>
    <r>
      <rPr>
        <sz val="10"/>
        <color rgb="FF000000"/>
        <rFont val="맑은 고딕"/>
        <family val="0"/>
        <charset val="1"/>
      </rPr>
      <t xml:space="preserve">'q' </t>
    </r>
    <r>
      <rPr>
        <sz val="10"/>
        <color rgb="FF000000"/>
        <rFont val="Noto Sans CJK SC"/>
        <family val="2"/>
      </rPr>
      <t xml:space="preserve">키 비상정지</t>
    </r>
  </si>
  <si>
    <t xml:space="preserve">에스코트 이동 중</t>
  </si>
  <si>
    <r>
      <rPr>
        <sz val="10"/>
        <color rgb="FF000000"/>
        <rFont val="Noto Sans CJK SC"/>
        <family val="2"/>
      </rPr>
      <t xml:space="preserve">키보드 </t>
    </r>
    <r>
      <rPr>
        <sz val="10"/>
        <color rgb="FF000000"/>
        <rFont val="맑은 고딕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입력 </t>
    </r>
    <r>
      <rPr>
        <sz val="10"/>
        <color rgb="FF000000"/>
        <rFont val="맑은 고딕"/>
        <family val="0"/>
        <charset val="1"/>
      </rPr>
      <t xml:space="preserve">(Enter </t>
    </r>
    <r>
      <rPr>
        <sz val="10"/>
        <color rgb="FF000000"/>
        <rFont val="Noto Sans CJK SC"/>
        <family val="2"/>
      </rPr>
      <t xml:space="preserve">없이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</si>
  <si>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q</t>
  </si>
  <si>
    <r>
      <rPr>
        <sz val="10"/>
        <color rgb="FF000000"/>
        <rFont val="Noto Sans CJK SC"/>
        <family val="2"/>
      </rPr>
      <t xml:space="preserve">즉시 정지</t>
    </r>
    <r>
      <rPr>
        <sz val="10"/>
        <color rgb="FF000000"/>
        <rFont val="맑은 고딕"/>
        <family val="0"/>
        <charset val="1"/>
      </rPr>
      <t xml:space="preserve">, emergency_stop </t>
    </r>
    <r>
      <rPr>
        <sz val="10"/>
        <color rgb="FF000000"/>
        <rFont val="Noto Sans CJK SC"/>
        <family val="2"/>
      </rPr>
      <t xml:space="preserve">경고 발행</t>
    </r>
  </si>
  <si>
    <t xml:space="preserve">TC-027</t>
  </si>
  <si>
    <r>
      <rPr>
        <sz val="10"/>
        <color rgb="FF000000"/>
        <rFont val="맑은 고딕"/>
        <family val="0"/>
        <charset val="1"/>
      </rPr>
      <t xml:space="preserve">Ctrl+C </t>
    </r>
    <r>
      <rPr>
        <sz val="10"/>
        <color rgb="FF000000"/>
        <rFont val="Noto Sans CJK SC"/>
        <family val="2"/>
      </rPr>
      <t xml:space="preserve">종료 시 정지</t>
    </r>
  </si>
  <si>
    <r>
      <rPr>
        <sz val="10"/>
        <color rgb="FF000000"/>
        <rFont val="맑은 고딕"/>
        <family val="0"/>
        <charset val="1"/>
      </rPr>
      <t xml:space="preserve">Ctrl+C </t>
    </r>
    <r>
      <rPr>
        <sz val="10"/>
        <color rgb="FF000000"/>
        <rFont val="Noto Sans CJK SC"/>
        <family val="2"/>
      </rPr>
      <t xml:space="preserve">입력</t>
    </r>
  </si>
  <si>
    <t xml:space="preserve">정지 명령 전송 후 안전 종료</t>
  </si>
  <si>
    <t xml:space="preserve">TC-028</t>
  </si>
  <si>
    <r>
      <rPr>
        <sz val="10"/>
        <color rgb="FF000000"/>
        <rFont val="맑은 고딕"/>
        <family val="0"/>
        <charset val="1"/>
      </rPr>
      <t xml:space="preserve">escort.status </t>
    </r>
    <r>
      <rPr>
        <sz val="10"/>
        <color rgb="FF000000"/>
        <rFont val="Noto Sans CJK SC"/>
        <family val="2"/>
      </rPr>
      <t xml:space="preserve">발행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저장</t>
    </r>
  </si>
  <si>
    <r>
      <rPr>
        <sz val="10"/>
        <color rgb="FF000000"/>
        <rFont val="맑은 고딕"/>
        <family val="0"/>
        <charset val="1"/>
      </rPr>
      <t xml:space="preserve">Docker 3</t>
    </r>
    <r>
      <rPr>
        <sz val="10"/>
        <color rgb="FF000000"/>
        <rFont val="Noto Sans CJK SC"/>
        <family val="2"/>
      </rPr>
      <t xml:space="preserve">개 컨테이너 실행</t>
    </r>
  </si>
  <si>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수행 후 </t>
    </r>
    <r>
      <rPr>
        <sz val="10"/>
        <color rgb="FF000000"/>
        <rFont val="맑은 고딕"/>
        <family val="0"/>
        <charset val="1"/>
      </rPr>
      <t xml:space="preserve">event_logs </t>
    </r>
    <r>
      <rPr>
        <sz val="10"/>
        <color rgb="FF000000"/>
        <rFont val="Noto Sans CJK SC"/>
        <family val="2"/>
      </rPr>
      <t xml:space="preserve">조회</t>
    </r>
  </si>
  <si>
    <t xml:space="preserve">idle/moving/arrived</t>
  </si>
  <si>
    <r>
      <rPr>
        <sz val="10"/>
        <color rgb="FF000000"/>
        <rFont val="Noto Sans CJK SC"/>
        <family val="2"/>
      </rPr>
      <t xml:space="preserve">상태 변화마다 발행</t>
    </r>
    <r>
      <rPr>
        <sz val="10"/>
        <color rgb="FF000000"/>
        <rFont val="맑은 고딕"/>
        <family val="0"/>
        <charset val="1"/>
      </rPr>
      <t xml:space="preserve">(retain), </t>
    </r>
    <r>
      <rPr>
        <sz val="10"/>
        <color rgb="FF000000"/>
        <rFont val="Noto Sans CJK SC"/>
        <family val="2"/>
      </rPr>
      <t xml:space="preserve">이동 중 </t>
    </r>
    <r>
      <rPr>
        <sz val="10"/>
        <color rgb="FF000000"/>
        <rFont val="맑은 고딕"/>
        <family val="0"/>
        <charset val="1"/>
      </rPr>
      <t xml:space="preserve">1Hz, DB </t>
    </r>
    <r>
      <rPr>
        <sz val="10"/>
        <color rgb="FF000000"/>
        <rFont val="Noto Sans CJK SC"/>
        <family val="2"/>
      </rPr>
      <t xml:space="preserve">저장</t>
    </r>
  </si>
  <si>
    <r>
      <rPr>
        <sz val="10"/>
        <color rgb="FF000000"/>
        <rFont val="맑은 고딕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연결 확인</t>
    </r>
    <r>
      <rPr>
        <sz val="10"/>
        <color rgb="FF000000"/>
        <rFont val="맑은 고딕"/>
        <family val="0"/>
        <charset val="1"/>
      </rPr>
      <t xml:space="preserve">, DB </t>
    </r>
    <r>
      <rPr>
        <sz val="10"/>
        <color rgb="FF000000"/>
        <rFont val="Noto Sans CJK SC"/>
        <family val="2"/>
      </rPr>
      <t xml:space="preserve">저장 미확인</t>
    </r>
  </si>
  <si>
    <r>
      <rPr>
        <sz val="10"/>
        <color rgb="FF000000"/>
        <rFont val="맑은 고딕"/>
        <family val="0"/>
        <charset val="1"/>
      </rPr>
      <t xml:space="preserve">check_recent_events.py</t>
    </r>
    <r>
      <rPr>
        <sz val="10"/>
        <color rgb="FF000000"/>
        <rFont val="Noto Sans CJK SC"/>
        <family val="2"/>
      </rPr>
      <t xml:space="preserve">로 확인 예정</t>
    </r>
  </si>
  <si>
    <t xml:space="preserve">TC-029</t>
  </si>
  <si>
    <r>
      <rPr>
        <sz val="10"/>
        <color rgb="FF000000"/>
        <rFont val="맑은 고딕"/>
        <family val="0"/>
        <charset val="1"/>
      </rPr>
      <t xml:space="preserve">alert.event </t>
    </r>
    <r>
      <rPr>
        <sz val="10"/>
        <color rgb="FF000000"/>
        <rFont val="Noto Sans CJK SC"/>
        <family val="2"/>
      </rPr>
      <t xml:space="preserve">저장 </t>
    </r>
    <r>
      <rPr>
        <sz val="10"/>
        <color rgb="FF000000"/>
        <rFont val="맑은 고딕"/>
        <family val="0"/>
        <charset val="1"/>
      </rPr>
      <t xml:space="preserve">(detail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</si>
  <si>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TC-030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</si>
  <si>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맑은 고딕"/>
        <family val="0"/>
        <charset val="1"/>
      </rPr>
      <t xml:space="preserve">escort_lost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0"/>
        <charset val="1"/>
      </rPr>
      <t xml:space="preserve">emergency_stop </t>
    </r>
    <r>
      <rPr>
        <sz val="10"/>
        <color rgb="FF000000"/>
        <rFont val="Noto Sans CJK SC"/>
        <family val="2"/>
      </rPr>
      <t xml:space="preserve">발생</t>
    </r>
  </si>
  <si>
    <t xml:space="preserve">reason, detail</t>
  </si>
  <si>
    <r>
      <rPr>
        <sz val="10"/>
        <color rgb="FF000000"/>
        <rFont val="맑은 고딕"/>
        <family val="0"/>
        <charset val="1"/>
      </rPr>
      <t xml:space="preserve">alert_logs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detail </t>
    </r>
    <r>
      <rPr>
        <sz val="10"/>
        <color rgb="FF000000"/>
        <rFont val="Noto Sans CJK SC"/>
        <family val="2"/>
      </rPr>
      <t xml:space="preserve">포함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행 저장</t>
    </r>
  </si>
  <si>
    <t xml:space="preserve">TC-030</t>
  </si>
  <si>
    <r>
      <rPr>
        <sz val="10"/>
        <color rgb="FF000000"/>
        <rFont val="맑은 고딕"/>
        <family val="0"/>
        <charset val="1"/>
      </rPr>
      <t xml:space="preserve">alert_logs.detail </t>
    </r>
    <r>
      <rPr>
        <sz val="10"/>
        <color rgb="FF000000"/>
        <rFont val="Noto Sans CJK SC"/>
        <family val="2"/>
      </rPr>
      <t xml:space="preserve">스키마 반영</t>
    </r>
  </si>
  <si>
    <r>
      <rPr>
        <sz val="10"/>
        <color rgb="FF000000"/>
        <rFont val="맑은 고딕"/>
        <family val="0"/>
        <charset val="1"/>
      </rPr>
      <t xml:space="preserve">PostgreSQL </t>
    </r>
    <r>
      <rPr>
        <sz val="10"/>
        <color rgb="FF000000"/>
        <rFont val="Noto Sans CJK SC"/>
        <family val="2"/>
      </rPr>
      <t xml:space="preserve">컨테이너 실행</t>
    </r>
  </si>
  <si>
    <r>
      <rPr>
        <sz val="10"/>
        <color rgb="FF000000"/>
        <rFont val="맑은 고딕"/>
        <family val="0"/>
        <charset val="1"/>
      </rPr>
      <t xml:space="preserve">migration SQL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docker cp </t>
    </r>
    <r>
      <rPr>
        <sz val="10"/>
        <color rgb="FF000000"/>
        <rFont val="Noto Sans CJK SC"/>
        <family val="2"/>
      </rPr>
      <t xml:space="preserve">방식으로 실행 후 </t>
    </r>
    <r>
      <rPr>
        <sz val="10"/>
        <color rgb="FF000000"/>
        <rFont val="맑은 고딕"/>
        <family val="0"/>
        <charset val="1"/>
      </rPr>
      <t xml:space="preserve">\d+ alert_logs</t>
    </r>
  </si>
  <si>
    <t xml:space="preserve">migration_20260927_alert_detail.sql</t>
  </si>
  <si>
    <r>
      <rPr>
        <sz val="10"/>
        <color rgb="FF000000"/>
        <rFont val="맑은 고딕"/>
        <family val="0"/>
        <charset val="1"/>
      </rPr>
      <t xml:space="preserve">detail </t>
    </r>
    <r>
      <rPr>
        <sz val="10"/>
        <color rgb="FF000000"/>
        <rFont val="Noto Sans CJK SC"/>
        <family val="2"/>
      </rPr>
      <t xml:space="preserve">컬럼 존재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한글 설명 정상</t>
    </r>
  </si>
  <si>
    <r>
      <rPr>
        <sz val="10"/>
        <color rgb="FF000000"/>
        <rFont val="Noto Sans CJK SC"/>
        <family val="2"/>
      </rPr>
      <t xml:space="preserve">컬럼 존재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기존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한글 설명 정상 반영</t>
    </r>
  </si>
  <si>
    <r>
      <rPr>
        <sz val="10"/>
        <color rgb="FF000000"/>
        <rFont val="맑은 고딕"/>
        <family val="0"/>
        <charset val="1"/>
      </rPr>
      <t xml:space="preserve">D-008 </t>
    </r>
    <r>
      <rPr>
        <sz val="10"/>
        <color rgb="FF000000"/>
        <rFont val="Noto Sans CJK SC"/>
        <family val="2"/>
      </rPr>
      <t xml:space="preserve">조치 후 통과</t>
    </r>
  </si>
  <si>
    <t xml:space="preserve">TC-031</t>
  </si>
  <si>
    <t xml:space="preserve">커밋 이력 비밀번호 검사</t>
  </si>
  <si>
    <r>
      <rPr>
        <sz val="10"/>
        <color rgb="FF000000"/>
        <rFont val="맑은 고딕"/>
        <family val="0"/>
        <charset val="1"/>
      </rPr>
      <t xml:space="preserve">git </t>
    </r>
    <r>
      <rPr>
        <sz val="10"/>
        <color rgb="FF000000"/>
        <rFont val="Noto Sans CJK SC"/>
        <family val="2"/>
      </rPr>
      <t xml:space="preserve">저장소</t>
    </r>
  </si>
  <si>
    <r>
      <rPr>
        <sz val="10"/>
        <color rgb="FF000000"/>
        <rFont val="맑은 고딕"/>
        <family val="0"/>
        <charset val="1"/>
      </rPr>
      <t xml:space="preserve">git log -p -S "&lt;</t>
    </r>
    <r>
      <rPr>
        <sz val="10"/>
        <color rgb="FF000000"/>
        <rFont val="Noto Sans CJK SC"/>
        <family val="2"/>
      </rPr>
      <t xml:space="preserve">비밀번호</t>
    </r>
    <r>
      <rPr>
        <sz val="10"/>
        <color rgb="FF000000"/>
        <rFont val="맑은 고딕"/>
        <family val="0"/>
        <charset val="1"/>
      </rPr>
      <t xml:space="preserve">&gt;"</t>
    </r>
  </si>
  <si>
    <t xml:space="preserve">검색 결과 없음</t>
  </si>
  <si>
    <r>
      <rPr>
        <sz val="10"/>
        <color rgb="FF000000"/>
        <rFont val="Noto Sans CJK SC"/>
        <family val="2"/>
      </rPr>
      <t xml:space="preserve">결과 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이력에 비밀번호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</si>
  <si>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TC-032</t>
  </si>
  <si>
    <t xml:space="preserve">커밋 대상 파일 비밀번호 검사</t>
  </si>
  <si>
    <t xml:space="preserve">푸시 직전</t>
  </si>
  <si>
    <r>
      <rPr>
        <sz val="10"/>
        <color rgb="FF000000"/>
        <rFont val="맑은 고딕"/>
        <family val="0"/>
        <charset val="1"/>
      </rPr>
      <t xml:space="preserve">Select-String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등 검사</t>
    </r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</si>
  <si>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이름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비밀번호</t>
    </r>
  </si>
  <si>
    <r>
      <rPr>
        <sz val="10"/>
        <color rgb="FF000000"/>
        <rFont val="Noto Sans CJK SC"/>
        <family val="2"/>
      </rPr>
      <t xml:space="preserve">검색 결과 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자리표시자만 존재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</si>
  <si>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검사 시 비밀번호 발견 → 푸시 보류</t>
    </r>
  </si>
  <si>
    <r>
      <rPr>
        <sz val="10"/>
        <color rgb="FF000000"/>
        <rFont val="맑은 고딕"/>
        <family val="0"/>
        <charset val="1"/>
      </rPr>
      <t xml:space="preserve">D-010 (</t>
    </r>
    <r>
      <rPr>
        <sz val="10"/>
        <color rgb="FF000000"/>
        <rFont val="Noto Sans CJK SC"/>
        <family val="2"/>
      </rPr>
      <t xml:space="preserve">자리표시자 버전으로 교체 후 재검사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</si>
  <si>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TC-033</t>
  </si>
  <si>
    <t xml:space="preserve">터치센서 단독 진단</t>
  </si>
  <si>
    <t xml:space="preserve">로봇 정지 상태</t>
  </si>
  <si>
    <r>
      <rPr>
        <sz val="10"/>
        <color rgb="FF000000"/>
        <rFont val="맑은 고딕"/>
        <family val="0"/>
        <charset val="1"/>
      </rPr>
      <t xml:space="preserve">escort_wifi.py 'touch'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맑은 고딕"/>
        <family val="0"/>
        <charset val="1"/>
      </rPr>
      <t xml:space="preserve">: 10</t>
    </r>
    <r>
      <rPr>
        <sz val="10"/>
        <color rgb="FF000000"/>
        <rFont val="Noto Sans CJK SC"/>
        <family val="2"/>
      </rPr>
      <t xml:space="preserve">초 미접촉 →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초 누르기</t>
    </r>
  </si>
  <si>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간격 조회 </t>
    </r>
    <r>
      <rPr>
        <sz val="10"/>
        <color rgb="FF000000"/>
        <rFont val="맑은 고딕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</si>
  <si>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미접촉 구간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누를 때만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눌림</t>
    </r>
    <r>
      <rPr>
        <sz val="10"/>
        <color rgb="FF000000"/>
        <rFont val="맑은 고딕"/>
        <family val="0"/>
        <charset val="1"/>
      </rPr>
      <t xml:space="preserve">'</t>
    </r>
  </si>
  <si>
    <r>
      <rPr>
        <sz val="10"/>
        <color rgb="FF000000"/>
        <rFont val="Noto Sans CJK SC"/>
        <family val="2"/>
      </rPr>
      <t xml:space="preserve">미접촉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누를 때만 감지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센서 정상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</si>
  <si>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D-011 </t>
    </r>
    <r>
      <rPr>
        <sz val="10"/>
        <color rgb="FF000000"/>
        <rFont val="Noto Sans CJK SC"/>
        <family val="2"/>
      </rPr>
      <t xml:space="preserve">원인 분리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하드웨어 아님</t>
    </r>
  </si>
  <si>
    <t xml:space="preserve">TC-034</t>
  </si>
  <si>
    <t xml:space="preserve">인사 동작 진동 오감지</t>
  </si>
  <si>
    <r>
      <rPr>
        <sz val="10"/>
        <color rgb="FF000000"/>
        <rFont val="Noto Sans CJK SC"/>
        <family val="2"/>
      </rPr>
      <t xml:space="preserve">로봇 정지 상태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터치 금지</t>
    </r>
  </si>
  <si>
    <r>
      <rPr>
        <sz val="10"/>
        <color rgb="FF000000"/>
        <rFont val="맑은 고딕"/>
        <family val="0"/>
        <charset val="1"/>
      </rPr>
      <t xml:space="preserve">'bow'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인사 동작 후 터치 기록 확인</t>
    </r>
  </si>
  <si>
    <t xml:space="preserve">인사 후 터치 기록 없음</t>
  </si>
  <si>
    <r>
      <rPr>
        <sz val="10"/>
        <color rgb="FF000000"/>
        <rFont val="Noto Sans CJK SC"/>
        <family val="2"/>
      </rPr>
      <t xml:space="preserve">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진동 오감지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</si>
  <si>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TC-035</t>
  </si>
  <si>
    <r>
      <rPr>
        <sz val="10"/>
        <color rgb="FF000000"/>
        <rFont val="Noto Sans CJK SC"/>
        <family val="2"/>
      </rPr>
      <t xml:space="preserve">카메라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공 정면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</si>
  <si>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초록 공이 로봇 정면 약 </t>
    </r>
    <r>
      <rPr>
        <sz val="10"/>
        <color rgb="FF000000"/>
        <rFont val="맑은 고딕"/>
        <family val="0"/>
        <charset val="1"/>
      </rPr>
      <t xml:space="preserve">1m</t>
    </r>
  </si>
  <si>
    <r>
      <rPr>
        <sz val="10"/>
        <color rgb="FF000000"/>
        <rFont val="맑은 고딕"/>
        <family val="0"/>
        <charset val="1"/>
      </rPr>
      <t xml:space="preserve">'home' </t>
    </r>
    <r>
      <rPr>
        <sz val="10"/>
        <color rgb="FF000000"/>
        <rFont val="Noto Sans CJK SC"/>
        <family val="2"/>
      </rPr>
      <t xml:space="preserve">명령</t>
    </r>
  </si>
  <si>
    <t xml:space="preserve">R_STOP 13px</t>
  </si>
  <si>
    <r>
      <rPr>
        <sz val="10"/>
        <color rgb="FF000000"/>
        <rFont val="Noto Sans CJK SC"/>
        <family val="2"/>
      </rPr>
      <t xml:space="preserve">좌우 보정하며 접근 후 공 앞 약 </t>
    </r>
    <r>
      <rPr>
        <sz val="10"/>
        <color rgb="FF000000"/>
        <rFont val="맑은 고딕"/>
        <family val="0"/>
        <charset val="1"/>
      </rPr>
      <t xml:space="preserve">50cm </t>
    </r>
    <r>
      <rPr>
        <sz val="10"/>
        <color rgb="FF000000"/>
        <rFont val="Noto Sans CJK SC"/>
        <family val="2"/>
      </rPr>
      <t xml:space="preserve">정지</t>
    </r>
  </si>
  <si>
    <r>
      <rPr>
        <sz val="10"/>
        <color rgb="FF000000"/>
        <rFont val="Noto Sans CJK SC"/>
        <family val="2"/>
      </rPr>
      <t xml:space="preserve">공 발견 → 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직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우 보정 → </t>
    </r>
    <r>
      <rPr>
        <sz val="10"/>
        <color rgb="FF000000"/>
        <rFont val="맑은 고딕"/>
        <family val="0"/>
        <charset val="1"/>
      </rPr>
      <t xml:space="preserve">r=14.0px</t>
    </r>
    <r>
      <rPr>
        <sz val="10"/>
        <color rgb="FF000000"/>
        <rFont val="Noto Sans CJK SC"/>
        <family val="2"/>
      </rPr>
      <t xml:space="preserve">에서 정지</t>
    </r>
  </si>
  <si>
    <t xml:space="preserve">TC-036</t>
  </si>
  <si>
    <r>
      <rPr>
        <sz val="10"/>
        <color rgb="FF000000"/>
        <rFont val="Noto Sans CJK SC"/>
        <family val="2"/>
      </rPr>
      <t xml:space="preserve">카메라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공 측면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탐색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</si>
  <si>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초록 공이 로봇 옆 약 </t>
    </r>
    <r>
      <rPr>
        <sz val="10"/>
        <color rgb="FF000000"/>
        <rFont val="맑은 고딕"/>
        <family val="0"/>
        <charset val="1"/>
      </rPr>
      <t xml:space="preserve">1m</t>
    </r>
  </si>
  <si>
    <r>
      <rPr>
        <sz val="10"/>
        <color rgb="FF000000"/>
        <rFont val="맑은 고딕"/>
        <family val="0"/>
        <charset val="1"/>
      </rPr>
      <t xml:space="preserve">'home'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제자리 회전 탐색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</si>
  <si>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SPIN_COUNT 40,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</si>
  <si>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탐색으로 공 발견 후 접근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</t>
    </r>
  </si>
  <si>
    <t xml:space="preserve">공을 보고도 지나치거나 정렬 후 놓침 반복 → 미발견 종료</t>
  </si>
  <si>
    <t xml:space="preserve">D-014, D-015</t>
  </si>
  <si>
    <t xml:space="preserve">TC-037</t>
  </si>
  <si>
    <t xml:space="preserve">경로 기록 모드</t>
  </si>
  <si>
    <t xml:space="preserve">로봇 출발지 위치</t>
  </si>
  <si>
    <r>
      <rPr>
        <sz val="10"/>
        <color rgb="FF000000"/>
        <rFont val="맑은 고딕"/>
        <family val="0"/>
        <charset val="1"/>
      </rPr>
      <t xml:space="preserve">record_route.py</t>
    </r>
    <r>
      <rPr>
        <sz val="10"/>
        <color rgb="FF000000"/>
        <rFont val="Noto Sans CJK SC"/>
        <family val="2"/>
      </rPr>
      <t xml:space="preserve">로 가는 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돌아오는 길 키보드 주행 기록</t>
    </r>
  </si>
  <si>
    <t xml:space="preserve">meeting_room_1</t>
  </si>
  <si>
    <r>
      <rPr>
        <sz val="10"/>
        <color rgb="FF000000"/>
        <rFont val="맑은 고딕"/>
        <family val="0"/>
        <charset val="1"/>
      </rPr>
      <t xml:space="preserve">destinations.json</t>
    </r>
    <r>
      <rPr>
        <sz val="10"/>
        <color rgb="FF000000"/>
        <rFont val="Noto Sans CJK SC"/>
        <family val="2"/>
      </rPr>
      <t xml:space="preserve">에 팀 목적지 코드로 저장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</si>
  <si>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 목적지 기록 완료</t>
    </r>
  </si>
  <si>
    <r>
      <rPr>
        <sz val="10"/>
        <color rgb="FF000000"/>
        <rFont val="맑은 고딕"/>
        <family val="0"/>
        <charset val="1"/>
      </rPr>
      <t xml:space="preserve">D-007 </t>
    </r>
    <r>
      <rPr>
        <sz val="10"/>
        <color rgb="FF000000"/>
        <rFont val="Noto Sans CJK SC"/>
        <family val="2"/>
      </rPr>
      <t xml:space="preserve">대체 방안</t>
    </r>
  </si>
  <si>
    <t xml:space="preserve">TC-038</t>
  </si>
  <si>
    <t xml:space="preserve">기록 경로 재생 정확도</t>
  </si>
  <si>
    <r>
      <rPr>
        <sz val="10"/>
        <color rgb="FF000000"/>
        <rFont val="맑은 고딕"/>
        <family val="0"/>
        <charset val="1"/>
      </rPr>
      <t xml:space="preserve">TC </t>
    </r>
    <r>
      <rPr>
        <sz val="10"/>
        <color rgb="FF000000"/>
        <rFont val="Noto Sans CJK SC"/>
        <family val="2"/>
      </rPr>
      <t xml:space="preserve">경로 기록 완료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도착 지점 테이프 표시</t>
    </r>
  </si>
  <si>
    <r>
      <rPr>
        <sz val="10"/>
        <color rgb="FF000000"/>
        <rFont val="맑은 고딕"/>
        <family val="0"/>
        <charset val="1"/>
      </rPr>
      <t xml:space="preserve">escort_wifi.py</t>
    </r>
    <r>
      <rPr>
        <sz val="10"/>
        <color rgb="FF000000"/>
        <rFont val="Noto Sans CJK SC"/>
        <family val="2"/>
      </rPr>
      <t xml:space="preserve">로 기록 경로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재생</t>
    </r>
  </si>
  <si>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 오차 일정 범위 이내</t>
    </r>
    <r>
      <rPr>
        <sz val="10"/>
        <color rgb="FF000000"/>
        <rFont val="맑은 고딕"/>
        <family val="0"/>
        <charset val="1"/>
      </rPr>
      <t xml:space="preserve">, 3</t>
    </r>
    <r>
      <rPr>
        <sz val="10"/>
        <color rgb="FF000000"/>
        <rFont val="Noto Sans CJK SC"/>
        <family val="2"/>
      </rPr>
      <t xml:space="preserve">회 편차 작음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</si>
  <si>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회차 진행 중 로봇 배터리 방전</t>
    </r>
  </si>
  <si>
    <t xml:space="preserve">Blocked</t>
  </si>
  <si>
    <t xml:space="preserve">충전 후 재시험</t>
  </si>
  <si>
    <t xml:space="preserve">TC-039</t>
  </si>
  <si>
    <r>
      <rPr>
        <sz val="10"/>
        <color rgb="FF000000"/>
        <rFont val="맑은 고딕"/>
        <family val="0"/>
        <charset val="1"/>
      </rPr>
      <t xml:space="preserve">YOLO </t>
    </r>
    <r>
      <rPr>
        <sz val="10"/>
        <color rgb="FF000000"/>
        <rFont val="Noto Sans CJK SC"/>
        <family val="2"/>
      </rPr>
      <t xml:space="preserve">기본 모델 목표물 인식</t>
    </r>
  </si>
  <si>
    <t xml:space="preserve">노트북에서 로봇 카메라 스트림 수신</t>
  </si>
  <si>
    <r>
      <rPr>
        <sz val="10"/>
        <color rgb="FF000000"/>
        <rFont val="맑은 고딕"/>
        <family val="0"/>
        <charset val="1"/>
      </rPr>
      <t xml:space="preserve">yolo_stream_test.py</t>
    </r>
    <r>
      <rPr>
        <sz val="10"/>
        <color rgb="FF000000"/>
        <rFont val="Noto Sans CJK SC"/>
        <family val="2"/>
      </rPr>
      <t xml:space="preserve">로 스툴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텀블러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가방 인식 </t>
    </r>
    <r>
      <rPr>
        <sz val="10"/>
        <color rgb="FF000000"/>
        <rFont val="맑은 고딕"/>
        <family val="0"/>
        <charset val="1"/>
      </rPr>
      <t xml:space="preserve">(0.5~1.5m)</t>
    </r>
  </si>
  <si>
    <t xml:space="preserve">yolov8n, yolov8s</t>
  </si>
  <si>
    <t xml:space="preserve">목표물을 올바른 이름으로 인식</t>
  </si>
  <si>
    <r>
      <rPr>
        <sz val="10"/>
        <color rgb="FF000000"/>
        <rFont val="Noto Sans CJK SC"/>
        <family val="2"/>
      </rPr>
      <t xml:space="preserve">스툴 근거리만 </t>
    </r>
    <r>
      <rPr>
        <sz val="10"/>
        <color rgb="FF000000"/>
        <rFont val="맑은 고딕"/>
        <family val="0"/>
        <charset val="1"/>
      </rPr>
      <t xml:space="preserve">0.38, </t>
    </r>
    <r>
      <rPr>
        <sz val="10"/>
        <color rgb="FF000000"/>
        <rFont val="Noto Sans CJK SC"/>
        <family val="2"/>
      </rPr>
      <t xml:space="preserve">텀블러→냉장고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가방→소파 등 오인식 다수</t>
    </r>
  </si>
  <si>
    <r>
      <rPr>
        <sz val="10"/>
        <color rgb="FF000000"/>
        <rFont val="맑은 고딕"/>
        <family val="0"/>
        <charset val="1"/>
      </rPr>
      <t xml:space="preserve">D-012 (</t>
    </r>
    <r>
      <rPr>
        <sz val="10"/>
        <color rgb="FF000000"/>
        <rFont val="Noto Sans CJK SC"/>
        <family val="2"/>
      </rPr>
      <t xml:space="preserve">색깔 공 방식으로 전환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</si>
  <si>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TC-040</t>
  </si>
  <si>
    <r>
      <rPr>
        <sz val="10"/>
        <color rgb="FF000000"/>
        <rFont val="Noto Sans CJK SC"/>
        <family val="2"/>
      </rPr>
      <t xml:space="preserve">색깔 공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동시 인식</t>
    </r>
  </si>
  <si>
    <r>
      <rPr>
        <sz val="10"/>
        <color rgb="FF000000"/>
        <rFont val="맑은 고딕"/>
        <family val="0"/>
        <charset val="1"/>
      </rPr>
      <t xml:space="preserve">MechDog </t>
    </r>
    <r>
      <rPr>
        <sz val="10"/>
        <color rgb="FF000000"/>
        <rFont val="Noto Sans CJK SC"/>
        <family val="2"/>
      </rPr>
      <t xml:space="preserve">구성품 공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파랑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</si>
  <si>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color_ball_test.py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</si>
  <si>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맑은 고딕"/>
        <family val="0"/>
        <charset val="1"/>
      </rPr>
      <t xml:space="preserve">HSV + </t>
    </r>
    <r>
      <rPr>
        <sz val="10"/>
        <color rgb="FF000000"/>
        <rFont val="Noto Sans CJK SC"/>
        <family val="2"/>
      </rPr>
      <t xml:space="preserve">원형도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채움 비율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</si>
  <si>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모두 원으로 인식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</si>
  <si>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모두 인식</t>
    </r>
    <r>
      <rPr>
        <sz val="10"/>
        <color rgb="FF000000"/>
        <rFont val="맑은 고딕"/>
        <family val="0"/>
        <charset val="1"/>
      </rPr>
      <t xml:space="preserve">, FPS 13~25</t>
    </r>
  </si>
  <si>
    <t xml:space="preserve">TC-041</t>
  </si>
  <si>
    <t xml:space="preserve">초록 공 거리별 인식</t>
  </si>
  <si>
    <r>
      <rPr>
        <sz val="10"/>
        <color rgb="FF000000"/>
        <rFont val="Noto Sans CJK SC"/>
        <family val="2"/>
      </rPr>
      <t xml:space="preserve">공을 </t>
    </r>
    <r>
      <rPr>
        <sz val="10"/>
        <color rgb="FF000000"/>
        <rFont val="맑은 고딕"/>
        <family val="0"/>
        <charset val="1"/>
      </rPr>
      <t xml:space="preserve">50cm / 1m / 1.5m</t>
    </r>
    <r>
      <rPr>
        <sz val="10"/>
        <color rgb="FF000000"/>
        <rFont val="Noto Sans CJK SC"/>
        <family val="2"/>
      </rPr>
      <t xml:space="preserve">에 배치</t>
    </r>
  </si>
  <si>
    <r>
      <rPr>
        <sz val="10"/>
        <color rgb="FF000000"/>
        <rFont val="Noto Sans CJK SC"/>
        <family val="2"/>
      </rPr>
      <t xml:space="preserve">거리별 </t>
    </r>
    <r>
      <rPr>
        <sz val="10"/>
        <color rgb="FF000000"/>
        <rFont val="맑은 고딕"/>
        <family val="0"/>
        <charset val="1"/>
      </rPr>
      <t xml:space="preserve">r(</t>
    </r>
    <r>
      <rPr>
        <sz val="10"/>
        <color rgb="FF000000"/>
        <rFont val="Noto Sans CJK SC"/>
        <family val="2"/>
      </rPr>
      <t xml:space="preserve">반지름 </t>
    </r>
    <r>
      <rPr>
        <sz val="10"/>
        <color rgb="FF000000"/>
        <rFont val="맑은 고딕"/>
        <family val="0"/>
        <charset val="1"/>
      </rPr>
      <t xml:space="preserve">px) </t>
    </r>
    <r>
      <rPr>
        <sz val="10"/>
        <color rgb="FF000000"/>
        <rFont val="Noto Sans CJK SC"/>
        <family val="2"/>
      </rPr>
      <t xml:space="preserve">기록</t>
    </r>
  </si>
  <si>
    <r>
      <rPr>
        <sz val="10"/>
        <color rgb="FF000000"/>
        <rFont val="맑은 고딕"/>
        <family val="0"/>
        <charset val="1"/>
      </rPr>
      <t xml:space="preserve">1.5m</t>
    </r>
    <r>
      <rPr>
        <sz val="10"/>
        <color rgb="FF000000"/>
        <rFont val="Noto Sans CJK SC"/>
        <family val="2"/>
      </rPr>
      <t xml:space="preserve">까지 인식</t>
    </r>
  </si>
  <si>
    <r>
      <rPr>
        <sz val="10"/>
        <color rgb="FF000000"/>
        <rFont val="맑은 고딕"/>
        <family val="0"/>
        <charset val="1"/>
      </rPr>
      <t xml:space="preserve">r = 13.7 / 7.6 / 5.9px, 1.5m</t>
    </r>
    <r>
      <rPr>
        <sz val="10"/>
        <color rgb="FF000000"/>
        <rFont val="Noto Sans CJK SC"/>
        <family val="2"/>
      </rPr>
      <t xml:space="preserve">까지 인식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빨강은 </t>
    </r>
    <r>
      <rPr>
        <sz val="10"/>
        <color rgb="FF000000"/>
        <rFont val="맑은 고딕"/>
        <family val="0"/>
        <charset val="1"/>
      </rPr>
      <t xml:space="preserve">50cm</t>
    </r>
    <r>
      <rPr>
        <sz val="10"/>
        <color rgb="FF000000"/>
        <rFont val="Noto Sans CJK SC"/>
        <family val="2"/>
      </rPr>
      <t xml:space="preserve">에서 반사로 실패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</si>
  <si>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출발지 표식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초록 확정</t>
    </r>
  </si>
  <si>
    <t xml:space="preserve">TC-042</t>
  </si>
  <si>
    <t xml:space="preserve">초록 오인식 방지</t>
  </si>
  <si>
    <r>
      <rPr>
        <sz val="10"/>
        <color rgb="FF000000"/>
        <rFont val="Noto Sans CJK SC"/>
        <family val="2"/>
      </rPr>
      <t xml:space="preserve">벽 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 점이 보이는 환경</t>
    </r>
  </si>
  <si>
    <r>
      <rPr>
        <sz val="10"/>
        <color rgb="FF000000"/>
        <rFont val="Noto Sans CJK SC"/>
        <family val="2"/>
      </rPr>
      <t xml:space="preserve">클릭 </t>
    </r>
    <r>
      <rPr>
        <sz val="10"/>
        <color rgb="FF000000"/>
        <rFont val="맑은 고딕"/>
        <family val="0"/>
        <charset val="1"/>
      </rPr>
      <t xml:space="preserve">HSV </t>
    </r>
    <r>
      <rPr>
        <sz val="10"/>
        <color rgb="FF000000"/>
        <rFont val="Noto Sans CJK SC"/>
        <family val="2"/>
      </rPr>
      <t xml:space="preserve">실측 후 범위 조정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크기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연속확인 조건 적용</t>
    </r>
  </si>
  <si>
    <r>
      <rPr>
        <sz val="10"/>
        <color rgb="FF000000"/>
        <rFont val="Noto Sans CJK SC"/>
        <family val="2"/>
      </rPr>
      <t xml:space="preserve">공 </t>
    </r>
    <r>
      <rPr>
        <sz val="10"/>
        <color rgb="FF000000"/>
        <rFont val="맑은 고딕"/>
        <family val="0"/>
        <charset val="1"/>
      </rPr>
      <t xml:space="preserve">H 43~83 / </t>
    </r>
    <r>
      <rPr>
        <sz val="10"/>
        <color rgb="FF000000"/>
        <rFont val="Noto Sans CJK SC"/>
        <family val="2"/>
      </rPr>
      <t xml:space="preserve">타일 </t>
    </r>
    <r>
      <rPr>
        <sz val="10"/>
        <color rgb="FF000000"/>
        <rFont val="맑은 고딕"/>
        <family val="0"/>
        <charset val="1"/>
      </rPr>
      <t xml:space="preserve">H 99~119</t>
    </r>
  </si>
  <si>
    <r>
      <rPr>
        <sz val="10"/>
        <color rgb="FF000000"/>
        <rFont val="Noto Sans CJK SC"/>
        <family val="2"/>
      </rPr>
      <t xml:space="preserve">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잡음을 공으로 인식하지 않음</t>
    </r>
  </si>
  <si>
    <r>
      <rPr>
        <sz val="10"/>
        <color rgb="FF000000"/>
        <rFont val="Noto Sans CJK SC"/>
        <family val="2"/>
      </rPr>
      <t xml:space="preserve">범위 조정 후 타일에서 정지하지 않음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잡음 점 제외 확인</t>
    </r>
  </si>
  <si>
    <t xml:space="preserve">D-013</t>
  </si>
  <si>
    <t xml:space="preserve">TC-043</t>
  </si>
  <si>
    <t xml:space="preserve">카메라 자동노출 설정</t>
  </si>
  <si>
    <r>
      <rPr>
        <sz val="10"/>
        <color rgb="FF000000"/>
        <rFont val="Noto Sans CJK SC"/>
        <family val="2"/>
      </rPr>
      <t xml:space="preserve">카메라 전원 </t>
    </r>
    <r>
      <rPr>
        <sz val="10"/>
        <color rgb="FF000000"/>
        <rFont val="맑은 고딕"/>
        <family val="0"/>
        <charset val="1"/>
      </rPr>
      <t xml:space="preserve">ON</t>
    </r>
  </si>
  <si>
    <r>
      <rPr>
        <sz val="10"/>
        <color rgb="FF000000"/>
        <rFont val="맑은 고딕"/>
        <family val="0"/>
        <charset val="1"/>
      </rPr>
      <t xml:space="preserve">/control API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aec, agc, awb </t>
    </r>
    <r>
      <rPr>
        <sz val="10"/>
        <color rgb="FF000000"/>
        <rFont val="Noto Sans CJK SC"/>
        <family val="2"/>
      </rPr>
      <t xml:space="preserve">설정 요청</t>
    </r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</si>
  <si>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개 설정</t>
    </r>
  </si>
  <si>
    <r>
      <rPr>
        <sz val="10"/>
        <color rgb="FF000000"/>
        <rFont val="Noto Sans CJK SC"/>
        <family val="2"/>
      </rPr>
      <t xml:space="preserve">설정 적용 </t>
    </r>
    <r>
      <rPr>
        <sz val="10"/>
        <color rgb="FF000000"/>
        <rFont val="맑은 고딕"/>
        <family val="0"/>
        <charset val="1"/>
      </rPr>
      <t xml:space="preserve">(HTTP 200)</t>
    </r>
  </si>
  <si>
    <r>
      <rPr>
        <sz val="10"/>
        <color rgb="FF000000"/>
        <rFont val="Noto Sans CJK SC"/>
        <family val="2"/>
      </rPr>
      <t xml:space="preserve">전부 </t>
    </r>
    <r>
      <rPr>
        <sz val="10"/>
        <color rgb="FF000000"/>
        <rFont val="맑은 고딕"/>
        <family val="0"/>
        <charset val="1"/>
      </rPr>
      <t xml:space="preserve">HTTP 500 (</t>
    </r>
    <r>
      <rPr>
        <sz val="10"/>
        <color rgb="FF000000"/>
        <rFont val="Noto Sans CJK SC"/>
        <family val="2"/>
      </rPr>
      <t xml:space="preserve">센서 미지원</t>
    </r>
    <r>
      <rPr>
        <sz val="10"/>
        <color rgb="FF000000"/>
        <rFont val="맑은 고딕"/>
        <family val="0"/>
        <charset val="1"/>
      </rPr>
      <t xml:space="preserve">) → </t>
    </r>
    <r>
      <rPr>
        <sz val="10"/>
        <color rgb="FF000000"/>
        <rFont val="Noto Sans CJK SC"/>
        <family val="2"/>
      </rPr>
      <t xml:space="preserve">노트북 밝기 보정으로 대체</t>
    </r>
  </si>
  <si>
    <t xml:space="preserve">D-016</t>
  </si>
  <si>
    <t xml:space="preserve">전체</t>
  </si>
  <si>
    <t xml:space="preserve">수행률</t>
  </si>
  <si>
    <t xml:space="preserve">통과율</t>
  </si>
  <si>
    <t xml:space="preserve">합계</t>
  </si>
  <si>
    <r>
      <rPr>
        <sz val="9"/>
        <color rgb="FF666666"/>
        <rFont val="Noto Sans CJK SC"/>
        <family val="2"/>
      </rPr>
      <t xml:space="preserve">※ 수행률 </t>
    </r>
    <r>
      <rPr>
        <sz val="9"/>
        <color rgb="FF666666"/>
        <rFont val="맑은 고딕"/>
        <family val="0"/>
        <charset val="1"/>
      </rPr>
      <t xml:space="preserve">= (</t>
    </r>
    <r>
      <rPr>
        <sz val="9"/>
        <color rgb="FF666666"/>
        <rFont val="Noto Sans CJK SC"/>
        <family val="2"/>
      </rPr>
      <t xml:space="preserve">전체 − </t>
    </r>
    <r>
      <rPr>
        <sz val="9"/>
        <color rgb="FF666666"/>
        <rFont val="맑은 고딕"/>
        <family val="0"/>
        <charset val="1"/>
      </rPr>
      <t xml:space="preserve">Blocked − Not Run) ÷ </t>
    </r>
    <r>
      <rPr>
        <sz val="9"/>
        <color rgb="FF666666"/>
        <rFont val="Noto Sans CJK SC"/>
        <family val="2"/>
      </rPr>
      <t xml:space="preserve">전체 </t>
    </r>
    <r>
      <rPr>
        <sz val="9"/>
        <color rgb="FF666666"/>
        <rFont val="맑은 고딕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통과율 </t>
    </r>
    <r>
      <rPr>
        <sz val="9"/>
        <color rgb="FF666666"/>
        <rFont val="맑은 고딕"/>
        <family val="0"/>
        <charset val="1"/>
      </rPr>
      <t xml:space="preserve">= Pass ÷ </t>
    </r>
    <r>
      <rPr>
        <sz val="9"/>
        <color rgb="FF666666"/>
        <rFont val="Noto Sans CJK SC"/>
        <family val="2"/>
      </rPr>
      <t xml:space="preserve">수행한 케이스 </t>
    </r>
    <r>
      <rPr>
        <sz val="9"/>
        <color rgb="FF666666"/>
        <rFont val="맑은 고딕"/>
        <family val="0"/>
        <charset val="1"/>
      </rPr>
      <t xml:space="preserve">(Blocked·Not Run </t>
    </r>
    <r>
      <rPr>
        <sz val="9"/>
        <color rgb="FF666666"/>
        <rFont val="Noto Sans CJK SC"/>
        <family val="2"/>
      </rPr>
      <t xml:space="preserve">제외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Noto Sans CJK SC"/>
        <family val="2"/>
      </rPr>
      <t xml:space="preserve">모두 테스트 케이스 시트에서 자동 집계</t>
    </r>
  </si>
  <si>
    <r>
      <rPr>
        <b val="true"/>
        <sz val="10"/>
        <color rgb="FFFFFFFF"/>
        <rFont val="Noto Sans CJK SC"/>
        <family val="2"/>
      </rPr>
      <t xml:space="preserve">결함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</si>
  <si>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발견일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</si>
  <si>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TC</t>
    </r>
  </si>
  <si>
    <t xml:space="preserve">증상</t>
  </si>
  <si>
    <t xml:space="preserve">원인</t>
  </si>
  <si>
    <t xml:space="preserve">조치 내용</t>
  </si>
  <si>
    <t xml:space="preserve">상태</t>
  </si>
  <si>
    <t xml:space="preserve">D-001</t>
  </si>
  <si>
    <r>
      <rPr>
        <sz val="10"/>
        <color rgb="FF000000"/>
        <rFont val="Noto Sans CJK SC"/>
        <family val="2"/>
      </rPr>
      <t xml:space="preserve">통신두절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근접 정지가 실제로 동작하지 않음</t>
    </r>
  </si>
  <si>
    <r>
      <rPr>
        <sz val="10"/>
        <color rgb="FF000000"/>
        <rFont val="Noto Sans CJK SC"/>
        <family val="2"/>
      </rPr>
      <t xml:space="preserve">안전장치가 </t>
    </r>
    <r>
      <rPr>
        <sz val="10"/>
        <color rgb="FF000000"/>
        <rFont val="맑은 고딕"/>
        <family val="0"/>
        <charset val="1"/>
      </rPr>
      <t xml:space="preserve">move(0,0)</t>
    </r>
    <r>
      <rPr>
        <sz val="10"/>
        <color rgb="FF000000"/>
        <rFont val="Noto Sans CJK SC"/>
        <family val="2"/>
      </rPr>
      <t xml:space="preserve">만 호출 → 이동 루프가 </t>
    </r>
    <r>
      <rPr>
        <sz val="10"/>
        <color rgb="FF000000"/>
        <rFont val="맑은 고딕"/>
        <family val="0"/>
        <charset val="1"/>
      </rPr>
      <t xml:space="preserve">_RUN_DIR</t>
    </r>
    <r>
      <rPr>
        <sz val="10"/>
        <color rgb="FF000000"/>
        <rFont val="Noto Sans CJK SC"/>
        <family val="2"/>
      </rPr>
      <t xml:space="preserve">을 보고 즉시 재이동하여 덮어씀</t>
    </r>
  </si>
  <si>
    <r>
      <rPr>
        <sz val="10"/>
        <color rgb="FF000000"/>
        <rFont val="Noto Sans CJK SC"/>
        <family val="2"/>
      </rPr>
      <t xml:space="preserve">정지 시 </t>
    </r>
    <r>
      <rPr>
        <sz val="10"/>
        <color rgb="FF000000"/>
        <rFont val="맑은 고딕"/>
        <family val="0"/>
        <charset val="1"/>
      </rPr>
      <t xml:space="preserve">_RUN_DIR=0</t>
    </r>
    <r>
      <rPr>
        <sz val="10"/>
        <color rgb="FF000000"/>
        <rFont val="Noto Sans CJK SC"/>
        <family val="2"/>
      </rPr>
      <t xml:space="preserve">으로 이동 상태 자체를 해제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노트북 측 </t>
    </r>
    <r>
      <rPr>
        <sz val="10"/>
        <color rgb="FF000000"/>
        <rFont val="맑은 고딕"/>
        <family val="0"/>
        <charset val="1"/>
      </rPr>
      <t xml:space="preserve">keepalive </t>
    </r>
    <r>
      <rPr>
        <sz val="10"/>
        <color rgb="FF000000"/>
        <rFont val="Noto Sans CJK SC"/>
        <family val="2"/>
      </rPr>
      <t xml:space="preserve">도입</t>
    </r>
  </si>
  <si>
    <t xml:space="preserve">종료</t>
  </si>
  <si>
    <t xml:space="preserve">D-002</t>
  </si>
  <si>
    <r>
      <rPr>
        <sz val="10"/>
        <color rgb="FF000000"/>
        <rFont val="Noto Sans CJK SC"/>
        <family val="2"/>
      </rPr>
      <t xml:space="preserve">통신두절 타임아웃이 </t>
    </r>
    <r>
      <rPr>
        <sz val="10"/>
        <color rgb="FF000000"/>
        <rFont val="맑은 고딕"/>
        <family val="0"/>
        <charset val="1"/>
      </rPr>
      <t xml:space="preserve">1~2</t>
    </r>
    <r>
      <rPr>
        <sz val="10"/>
        <color rgb="FF000000"/>
        <rFont val="Noto Sans CJK SC"/>
        <family val="2"/>
      </rPr>
      <t xml:space="preserve">초 사이로 부정확</t>
    </r>
  </si>
  <si>
    <r>
      <rPr>
        <sz val="10"/>
        <color rgb="FF000000"/>
        <rFont val="맑은 고딕"/>
        <family val="0"/>
        <charset val="1"/>
      </rPr>
      <t xml:space="preserve">MicroPython time.time()</t>
    </r>
    <r>
      <rPr>
        <sz val="10"/>
        <color rgb="FF000000"/>
        <rFont val="Noto Sans CJK SC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단위 정수</t>
    </r>
  </si>
  <si>
    <r>
      <rPr>
        <sz val="10"/>
        <color rgb="FF000000"/>
        <rFont val="맑은 고딕"/>
        <family val="0"/>
        <charset val="1"/>
      </rPr>
      <t xml:space="preserve">time.ticks_ms()/ticks_diff()</t>
    </r>
    <r>
      <rPr>
        <sz val="10"/>
        <color rgb="FF000000"/>
        <rFont val="Noto Sans CJK SC"/>
        <family val="2"/>
      </rPr>
      <t xml:space="preserve">로 변경 </t>
    </r>
    <r>
      <rPr>
        <sz val="10"/>
        <color rgb="FF000000"/>
        <rFont val="맑은 고딕"/>
        <family val="0"/>
        <charset val="1"/>
      </rPr>
      <t xml:space="preserve">(ms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</si>
  <si>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D-003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</si>
  <si>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펌웨어에서 인사 동작 미실행 가능</t>
    </r>
  </si>
  <si>
    <r>
      <rPr>
        <sz val="10"/>
        <color rgb="FF000000"/>
        <rFont val="맑은 고딕"/>
        <family val="0"/>
        <charset val="1"/>
      </rPr>
      <t xml:space="preserve">action_run("8")</t>
    </r>
    <r>
      <rPr>
        <sz val="10"/>
        <color rgb="FF000000"/>
        <rFont val="Noto Sans CJK SC"/>
        <family val="2"/>
      </rPr>
      <t xml:space="preserve">처럼 번호를 그대로 전달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버전은 동작 이름으로 변환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</si>
  <si>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번호→동작 이름 매핑</t>
    </r>
    <r>
      <rPr>
        <sz val="10"/>
        <color rgb="FF000000"/>
        <rFont val="맑은 고딕"/>
        <family val="0"/>
        <charset val="1"/>
      </rPr>
      <t xml:space="preserve">(BUILTIN_ACTIONS) </t>
    </r>
    <r>
      <rPr>
        <sz val="10"/>
        <color rgb="FF000000"/>
        <rFont val="Noto Sans CJK SC"/>
        <family val="2"/>
      </rPr>
      <t xml:space="preserve">추가</t>
    </r>
  </si>
  <si>
    <t xml:space="preserve">재시험 대기</t>
  </si>
  <si>
    <t xml:space="preserve">D-004</t>
  </si>
  <si>
    <t xml:space="preserve">도착 인사 명령이 간헐적으로 누락</t>
  </si>
  <si>
    <r>
      <rPr>
        <sz val="10"/>
        <color rgb="FF000000"/>
        <rFont val="Noto Sans CJK SC"/>
        <family val="2"/>
      </rPr>
      <t xml:space="preserve">정지 명령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직후 인사 명령 전송 → 펌웨어의 명령 대기 변수가 덮어써짐</t>
    </r>
  </si>
  <si>
    <r>
      <rPr>
        <sz val="10"/>
        <color rgb="FF000000"/>
        <rFont val="Noto Sans CJK SC"/>
        <family val="2"/>
      </rPr>
      <t xml:space="preserve">정지 후 </t>
    </r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대기 후 인사 명령 전송</t>
    </r>
  </si>
  <si>
    <t xml:space="preserve">복귀 시 출발지 반대 방향으로 전진</t>
  </si>
  <si>
    <r>
      <rPr>
        <sz val="10"/>
        <color rgb="FF000000"/>
        <rFont val="Noto Sans CJK SC"/>
        <family val="2"/>
      </rPr>
      <t xml:space="preserve">복귀 경로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역순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좌우반전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전환을 전제로 하나 전환 동작 없음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버전부터 존재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</si>
  <si>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단계 추가 후</t>
    </r>
    <r>
      <rPr>
        <sz val="10"/>
        <color rgb="FF000000"/>
        <rFont val="맑은 고딕"/>
        <family val="0"/>
        <charset val="1"/>
      </rPr>
      <t xml:space="preserve">(D-007) → </t>
    </r>
    <r>
      <rPr>
        <sz val="10"/>
        <color rgb="FF000000"/>
        <rFont val="Noto Sans CJK SC"/>
        <family val="2"/>
      </rPr>
      <t xml:space="preserve">경로 기록 모드로 복귀 경로를 직접 기록하는 방식으로 대체</t>
    </r>
  </si>
  <si>
    <t xml:space="preserve">D-006</t>
  </si>
  <si>
    <r>
      <rPr>
        <sz val="10"/>
        <color rgb="FF000000"/>
        <rFont val="Noto Sans CJK SC"/>
        <family val="2"/>
      </rPr>
      <t xml:space="preserve">회피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회 실패 후에도 남은 경로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도착 인사까지 진행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</si>
  <si>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실패 시 해당 스텝만 </t>
    </r>
    <r>
      <rPr>
        <sz val="10"/>
        <color rgb="FF000000"/>
        <rFont val="맑은 고딕"/>
        <family val="0"/>
        <charset val="1"/>
      </rPr>
      <t xml:space="preserve">return</t>
    </r>
    <r>
      <rPr>
        <sz val="10"/>
        <color rgb="FF000000"/>
        <rFont val="Noto Sans CJK SC"/>
        <family val="2"/>
      </rPr>
      <t xml:space="preserve">하고 상위 루프가 계속 진행</t>
    </r>
  </si>
  <si>
    <r>
      <rPr>
        <sz val="10"/>
        <color rgb="FF000000"/>
        <rFont val="맑은 고딕"/>
        <family val="0"/>
        <charset val="1"/>
      </rPr>
      <t xml:space="preserve">EscortLost </t>
    </r>
    <r>
      <rPr>
        <sz val="10"/>
        <color rgb="FF000000"/>
        <rFont val="Noto Sans CJK SC"/>
        <family val="2"/>
      </rPr>
      <t xml:space="preserve">예외로 에스코트 전체 중단</t>
    </r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</si>
  <si>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반경이 커서 출발지 복귀 불가</t>
    </r>
  </si>
  <si>
    <r>
      <rPr>
        <sz val="10"/>
        <color rgb="FF000000"/>
        <rFont val="Noto Sans CJK SC"/>
        <family val="2"/>
      </rPr>
      <t xml:space="preserve">강좌회전</t>
    </r>
    <r>
      <rPr>
        <sz val="10"/>
        <color rgb="FF000000"/>
        <rFont val="맑은 고딕"/>
        <family val="0"/>
        <charset val="1"/>
      </rPr>
      <t xml:space="preserve">(dir 5)</t>
    </r>
    <r>
      <rPr>
        <sz val="10"/>
        <color rgb="FF000000"/>
        <rFont val="Noto Sans CJK SC"/>
        <family val="2"/>
      </rPr>
      <t xml:space="preserve">은 전진하며 도는 동작이라 회전 반경 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제자리 회전</t>
    </r>
    <r>
      <rPr>
        <sz val="10"/>
        <color rgb="FF000000"/>
        <rFont val="맑은 고딕"/>
        <family val="0"/>
        <charset val="1"/>
      </rPr>
      <t xml:space="preserve">(CMD|9)</t>
    </r>
    <r>
      <rPr>
        <sz val="10"/>
        <color rgb="FF000000"/>
        <rFont val="Noto Sans CJK SC"/>
        <family val="2"/>
      </rPr>
      <t xml:space="preserve">은 과거 실험에서 불안정</t>
    </r>
  </si>
  <si>
    <r>
      <rPr>
        <sz val="10"/>
        <color rgb="FF000000"/>
        <rFont val="Noto Sans CJK SC"/>
        <family val="2"/>
      </rPr>
      <t xml:space="preserve">경로 기록 모드</t>
    </r>
    <r>
      <rPr>
        <sz val="10"/>
        <color rgb="FF000000"/>
        <rFont val="맑은 고딕"/>
        <family val="0"/>
        <charset val="1"/>
      </rPr>
      <t xml:space="preserve">(record_route.py)</t>
    </r>
    <r>
      <rPr>
        <sz val="10"/>
        <color rgb="FF000000"/>
        <rFont val="Noto Sans CJK SC"/>
        <family val="2"/>
      </rPr>
      <t xml:space="preserve">로 복귀 경로를 직접 기록하는 방식으로 대체</t>
    </r>
  </si>
  <si>
    <t xml:space="preserve">D-008</t>
  </si>
  <si>
    <r>
      <rPr>
        <sz val="10"/>
        <color rgb="FF000000"/>
        <rFont val="맑은 고딕"/>
        <family val="0"/>
        <charset val="1"/>
      </rPr>
      <t xml:space="preserve">alert_logs.detail </t>
    </r>
    <r>
      <rPr>
        <sz val="10"/>
        <color rgb="FF000000"/>
        <rFont val="Noto Sans CJK SC"/>
        <family val="2"/>
      </rPr>
      <t xml:space="preserve">컬럼 설명 한글 깨짐 </t>
    </r>
    <r>
      <rPr>
        <sz val="10"/>
        <color rgb="FF000000"/>
        <rFont val="맑은 고딕"/>
        <family val="0"/>
        <charset val="1"/>
      </rPr>
      <t xml:space="preserve">(??)</t>
    </r>
  </si>
  <si>
    <r>
      <rPr>
        <sz val="10"/>
        <color rgb="FF000000"/>
        <rFont val="맑은 고딕"/>
        <family val="0"/>
        <charset val="1"/>
      </rPr>
      <t xml:space="preserve">PowerShell </t>
    </r>
    <r>
      <rPr>
        <sz val="10"/>
        <color rgb="FF000000"/>
        <rFont val="Noto Sans CJK SC"/>
        <family val="2"/>
      </rPr>
      <t xml:space="preserve">파이프가 네이티브 명령에 한글을 </t>
    </r>
    <r>
      <rPr>
        <sz val="10"/>
        <color rgb="FF000000"/>
        <rFont val="맑은 고딕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로 변환</t>
    </r>
  </si>
  <si>
    <r>
      <rPr>
        <sz val="10"/>
        <color rgb="FF000000"/>
        <rFont val="맑은 고딕"/>
        <family val="0"/>
        <charset val="1"/>
      </rPr>
      <t xml:space="preserve">docker cp</t>
    </r>
    <r>
      <rPr>
        <sz val="10"/>
        <color rgb="FF000000"/>
        <rFont val="Noto Sans CJK SC"/>
        <family val="2"/>
      </rPr>
      <t xml:space="preserve">로 컨테이너에 복사 후 </t>
    </r>
    <r>
      <rPr>
        <sz val="10"/>
        <color rgb="FF000000"/>
        <rFont val="맑은 고딕"/>
        <family val="0"/>
        <charset val="1"/>
      </rPr>
      <t xml:space="preserve">psql -f </t>
    </r>
    <r>
      <rPr>
        <sz val="10"/>
        <color rgb="FF000000"/>
        <rFont val="Noto Sans CJK SC"/>
        <family val="2"/>
      </rPr>
      <t xml:space="preserve">실행</t>
    </r>
  </si>
  <si>
    <t xml:space="preserve">D-009</t>
  </si>
  <si>
    <t xml:space="preserve">도착 전에 눌린 터치로 즉시 복귀할 가능성</t>
  </si>
  <si>
    <t xml:space="preserve">로봇 터치 플래그가 조회 전까지 유지됨</t>
  </si>
  <si>
    <r>
      <rPr>
        <sz val="10"/>
        <color rgb="FF000000"/>
        <rFont val="Noto Sans CJK SC"/>
        <family val="2"/>
      </rPr>
      <t xml:space="preserve">대기 시작 시 터치 기록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조회로 초기화</t>
    </r>
  </si>
  <si>
    <t xml:space="preserve">D-010</t>
  </si>
  <si>
    <r>
      <rPr>
        <sz val="10"/>
        <color rgb="FF000000"/>
        <rFont val="Noto Sans CJK SC"/>
        <family val="2"/>
      </rPr>
      <t xml:space="preserve">커밋 대상 파일에 </t>
    </r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비밀번호 포함</t>
    </r>
  </si>
  <si>
    <t xml:space="preserve">업로드용 값을 프로젝트 파일에 직접 입력</t>
  </si>
  <si>
    <r>
      <rPr>
        <sz val="10"/>
        <color rgb="FF000000"/>
        <rFont val="맑은 고딕"/>
        <family val="0"/>
        <charset val="1"/>
      </rPr>
      <t xml:space="preserve">wifi_config.py </t>
    </r>
    <r>
      <rPr>
        <sz val="10"/>
        <color rgb="FF000000"/>
        <rFont val="Noto Sans CJK SC"/>
        <family val="2"/>
      </rPr>
      <t xml:space="preserve">분리</t>
    </r>
    <r>
      <rPr>
        <sz val="10"/>
        <color rgb="FF000000"/>
        <rFont val="맑은 고딕"/>
        <family val="0"/>
        <charset val="1"/>
      </rPr>
      <t xml:space="preserve">(.gitignore), </t>
    </r>
    <r>
      <rPr>
        <sz val="10"/>
        <color rgb="FF000000"/>
        <rFont val="Noto Sans CJK SC"/>
        <family val="2"/>
      </rPr>
      <t xml:space="preserve">업로드용 복사본은 저장소 밖 보관</t>
    </r>
  </si>
  <si>
    <t xml:space="preserve">조치 중</t>
  </si>
  <si>
    <r>
      <rPr>
        <sz val="10"/>
        <color rgb="FF000000"/>
        <rFont val="Noto Sans CJK SC"/>
        <family val="2"/>
      </rPr>
      <t xml:space="preserve">터치하지 않았는데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출력</t>
    </r>
  </si>
  <si>
    <r>
      <rPr>
        <sz val="10"/>
        <color rgb="FF000000"/>
        <rFont val="Noto Sans CJK SC"/>
        <family val="2"/>
      </rPr>
      <t xml:space="preserve">터치센서 정상 확인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 </t>
    </r>
    <r>
      <rPr>
        <sz val="10"/>
        <color rgb="FF000000"/>
        <rFont val="맑은 고딕"/>
        <family val="0"/>
        <charset val="1"/>
      </rPr>
      <t xml:space="preserve">TC). </t>
    </r>
    <r>
      <rPr>
        <sz val="10"/>
        <color rgb="FF000000"/>
        <rFont val="Noto Sans CJK SC"/>
        <family val="2"/>
      </rPr>
      <t xml:space="preserve">이전 조회의 늦은 응답을 다음 조회 결과로 읽은 것으로 추정</t>
    </r>
  </si>
  <si>
    <r>
      <rPr>
        <sz val="10"/>
        <color rgb="FF000000"/>
        <rFont val="Noto Sans CJK SC"/>
        <family val="2"/>
      </rPr>
      <t xml:space="preserve">터치 기록 초기화 시 </t>
    </r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대기 후 응답 버퍼 비움</t>
    </r>
  </si>
  <si>
    <t xml:space="preserve">D-012</t>
  </si>
  <si>
    <r>
      <rPr>
        <sz val="10"/>
        <color rgb="FF000000"/>
        <rFont val="맑은 고딕"/>
        <family val="0"/>
        <charset val="1"/>
      </rPr>
      <t xml:space="preserve">YOLO </t>
    </r>
    <r>
      <rPr>
        <sz val="10"/>
        <color rgb="FF000000"/>
        <rFont val="Noto Sans CJK SC"/>
        <family val="2"/>
      </rPr>
      <t xml:space="preserve">기본 모델이 로봇 시점에서 오인식</t>
    </r>
  </si>
  <si>
    <r>
      <rPr>
        <sz val="10"/>
        <color rgb="FF000000"/>
        <rFont val="Noto Sans CJK SC"/>
        <family val="2"/>
      </rPr>
      <t xml:space="preserve">학습 데이터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눈높이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고해상도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로봇 카메라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바닥 높이</t>
    </r>
    <r>
      <rPr>
        <sz val="10"/>
        <color rgb="FF000000"/>
        <rFont val="맑은 고딕"/>
        <family val="0"/>
        <charset val="1"/>
      </rPr>
      <t xml:space="preserve">·240x240) </t>
    </r>
    <r>
      <rPr>
        <sz val="10"/>
        <color rgb="FF000000"/>
        <rFont val="Noto Sans CJK SC"/>
        <family val="2"/>
      </rPr>
      <t xml:space="preserve">조건 차이</t>
    </r>
  </si>
  <si>
    <r>
      <rPr>
        <sz val="10"/>
        <color rgb="FF000000"/>
        <rFont val="Noto Sans CJK SC"/>
        <family val="2"/>
      </rPr>
      <t xml:space="preserve">출발지 표식을 색깔 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변경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추후 로봇 시점 데이터로 재학습 검토</t>
    </r>
  </si>
  <si>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벽 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 점을 초록 공으로 오인식</t>
    </r>
  </si>
  <si>
    <r>
      <rPr>
        <sz val="10"/>
        <color rgb="FF000000"/>
        <rFont val="맑은 고딕"/>
        <family val="0"/>
        <charset val="1"/>
      </rPr>
      <t xml:space="preserve">HSV </t>
    </r>
    <r>
      <rPr>
        <sz val="10"/>
        <color rgb="FF000000"/>
        <rFont val="Noto Sans CJK SC"/>
        <family val="2"/>
      </rPr>
      <t xml:space="preserve">범위 과다 완화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작은 잡음 점이 원형도 높게 계산됨</t>
    </r>
  </si>
  <si>
    <r>
      <rPr>
        <sz val="10"/>
        <color rgb="FF000000"/>
        <rFont val="Noto Sans CJK SC"/>
        <family val="2"/>
      </rPr>
      <t xml:space="preserve">클릭 실측 기반 </t>
    </r>
    <r>
      <rPr>
        <sz val="10"/>
        <color rgb="FF000000"/>
        <rFont val="맑은 고딕"/>
        <family val="0"/>
        <charset val="1"/>
      </rPr>
      <t xml:space="preserve">HSV(H 40~80, S≥60), </t>
    </r>
    <r>
      <rPr>
        <sz val="10"/>
        <color rgb="FF000000"/>
        <rFont val="Noto Sans CJK SC"/>
        <family val="2"/>
      </rPr>
      <t xml:space="preserve">크기 제한</t>
    </r>
    <r>
      <rPr>
        <sz val="10"/>
        <color rgb="FF000000"/>
        <rFont val="맑은 고딕"/>
        <family val="0"/>
        <charset val="1"/>
      </rPr>
      <t xml:space="preserve">(4.5~35px), </t>
    </r>
    <r>
      <rPr>
        <sz val="10"/>
        <color rgb="FF000000"/>
        <rFont val="Noto Sans CJK SC"/>
        <family val="2"/>
      </rPr>
      <t xml:space="preserve">위치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크기 일치 연속확인</t>
    </r>
  </si>
  <si>
    <t xml:space="preserve">D-014</t>
  </si>
  <si>
    <t xml:space="preserve">걸으면서 도는 탐색으로 옆의 공을 못 찾음</t>
  </si>
  <si>
    <r>
      <rPr>
        <sz val="10"/>
        <color rgb="FF000000"/>
        <rFont val="Noto Sans CJK SC"/>
        <family val="2"/>
      </rPr>
      <t xml:space="preserve">강회전 보행은 원을 그리며 돌아 공이 원 안쪽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측면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계속 머묾</t>
    </r>
  </si>
  <si>
    <r>
      <rPr>
        <sz val="10"/>
        <color rgb="FF000000"/>
        <rFont val="Noto Sans CJK SC"/>
        <family val="2"/>
      </rPr>
      <t xml:space="preserve">제자리 회전</t>
    </r>
    <r>
      <rPr>
        <sz val="10"/>
        <color rgb="FF000000"/>
        <rFont val="맑은 고딕"/>
        <family val="0"/>
        <charset val="1"/>
      </rPr>
      <t xml:space="preserve">(CMD|9) </t>
    </r>
    <r>
      <rPr>
        <sz val="10"/>
        <color rgb="FF000000"/>
        <rFont val="Noto Sans CJK SC"/>
        <family val="2"/>
      </rPr>
      <t xml:space="preserve">탐색으로 변경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공이 보인 쪽으로 탐색</t>
    </r>
  </si>
  <si>
    <t xml:space="preserve">D-015</t>
  </si>
  <si>
    <t xml:space="preserve">공을 보고도 지나치거나 정렬 후 놓침</t>
  </si>
  <si>
    <r>
      <rPr>
        <sz val="10"/>
        <color rgb="FF000000"/>
        <rFont val="Noto Sans CJK SC"/>
        <family val="2"/>
      </rPr>
      <t xml:space="preserve">카메라 영상이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이상 늦게 도착 → 멈추기 전 화면으로 판단</t>
    </r>
  </si>
  <si>
    <r>
      <rPr>
        <sz val="10"/>
        <color rgb="FF000000"/>
        <rFont val="Noto Sans CJK SC"/>
        <family val="2"/>
      </rPr>
      <t xml:space="preserve">수신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처리 스레드 분리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최신 프레임만 처리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정지 후 새 프레임 도착 대기</t>
    </r>
  </si>
  <si>
    <r>
      <rPr>
        <sz val="10"/>
        <color rgb="FF000000"/>
        <rFont val="Noto Sans CJK SC"/>
        <family val="2"/>
      </rPr>
      <t xml:space="preserve">카메라 자동노출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화이트밸런스 설정 불가</t>
    </r>
  </si>
  <si>
    <r>
      <rPr>
        <sz val="10"/>
        <color rgb="FF000000"/>
        <rFont val="Noto Sans CJK SC"/>
        <family val="2"/>
      </rPr>
      <t xml:space="preserve">센서가 해당 설정 미지원 </t>
    </r>
    <r>
      <rPr>
        <sz val="10"/>
        <color rgb="FF000000"/>
        <rFont val="맑은 고딕"/>
        <family val="0"/>
        <charset val="1"/>
      </rPr>
      <t xml:space="preserve">(HTTP 500). </t>
    </r>
    <r>
      <rPr>
        <sz val="10"/>
        <color rgb="FF000000"/>
        <rFont val="Noto Sans CJK SC"/>
        <family val="2"/>
      </rPr>
      <t xml:space="preserve">표시상 </t>
    </r>
    <r>
      <rPr>
        <sz val="10"/>
        <color rgb="FF000000"/>
        <rFont val="맑은 고딕"/>
        <family val="0"/>
        <charset val="1"/>
      </rPr>
      <t xml:space="preserve">OV2640</t>
    </r>
    <r>
      <rPr>
        <sz val="10"/>
        <color rgb="FF000000"/>
        <rFont val="Noto Sans CJK SC"/>
        <family val="2"/>
      </rPr>
      <t xml:space="preserve">이나 실제 센서 상이 추정</t>
    </r>
  </si>
  <si>
    <t xml:space="preserve">노트북에서 소프트웨어 밝기 보정 적용</t>
  </si>
  <si>
    <r>
      <rPr>
        <sz val="10"/>
        <color rgb="FF000000"/>
        <rFont val="Noto Sans CJK SC"/>
        <family val="2"/>
      </rPr>
      <t xml:space="preserve">종료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우회</t>
    </r>
    <r>
      <rPr>
        <sz val="10"/>
        <color rgb="FF00000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</si>
</sst>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맑은 고딕"/>
      <family val="0"/>
      <charset val="1"/>
    </font>
    <font>
      <b val="true"/>
      <sz val="16"/>
      <color rgb="FF1F4E78"/>
      <name val="Noto Sans CJK SC"/>
      <family val="2"/>
    </font>
    <font>
      <sz val="10"/>
      <color rgb="FF666666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맑은 고딕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맑은 고딕"/>
        <charset val="1"/>
        <family val="0"/>
        <color rgb="FF595959"/>
      </font>
      <fill>
        <patternFill>
          <bgColor rgb="FFEDEDED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5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5" t="s">
        <v>11</v>
      </c>
    </row>
    <row r="9" customFormat="false" ht="31.5" hidden="false" customHeight="true" outlineLevel="0" collapsed="false">
      <c r="A9" s="3" t="s">
        <v>12</v>
      </c>
      <c r="B9" s="4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4" t="s">
        <v>19</v>
      </c>
    </row>
    <row r="13" customFormat="false" ht="31.5" hidden="false" customHeight="true" outlineLevel="0" collapsed="false">
      <c r="A13" s="3" t="s">
        <v>20</v>
      </c>
      <c r="B13" s="5" t="s">
        <v>21</v>
      </c>
    </row>
    <row r="14" customFormat="false" ht="31.5" hidden="false" customHeight="true" outlineLevel="0" collapsed="false">
      <c r="A14" s="3" t="s">
        <v>22</v>
      </c>
      <c r="B14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30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</row>
    <row r="2" customFormat="false" ht="31.5" hidden="false" customHeight="true" outlineLevel="0" collapsed="false">
      <c r="A2" s="7" t="s">
        <v>29</v>
      </c>
      <c r="B2" s="4" t="s">
        <v>30</v>
      </c>
      <c r="C2" s="5" t="s">
        <v>31</v>
      </c>
      <c r="D2" s="8" t="s">
        <v>32</v>
      </c>
      <c r="E2" s="7" t="n">
        <f aca="false">COUNTIF('테스트 케이스'!$B:$B,A2)</f>
        <v>4</v>
      </c>
    </row>
    <row r="3" customFormat="false" ht="31.5" hidden="false" customHeight="true" outlineLevel="0" collapsed="false">
      <c r="A3" s="7" t="s">
        <v>33</v>
      </c>
      <c r="B3" s="5" t="s">
        <v>34</v>
      </c>
      <c r="C3" s="4" t="s">
        <v>35</v>
      </c>
      <c r="D3" s="8" t="s">
        <v>32</v>
      </c>
      <c r="E3" s="7" t="n">
        <f aca="false">COUNTIF('테스트 케이스'!$B:$B,A3)</f>
        <v>3</v>
      </c>
    </row>
    <row r="4" customFormat="false" ht="31.5" hidden="false" customHeight="true" outlineLevel="0" collapsed="false">
      <c r="A4" s="7" t="s">
        <v>36</v>
      </c>
      <c r="B4" s="5" t="s">
        <v>37</v>
      </c>
      <c r="C4" s="5" t="s">
        <v>38</v>
      </c>
      <c r="D4" s="8" t="s">
        <v>32</v>
      </c>
      <c r="E4" s="7" t="n">
        <f aca="false">COUNTIF('테스트 케이스'!$B:$B,A4)</f>
        <v>3</v>
      </c>
    </row>
    <row r="5" customFormat="false" ht="31.5" hidden="false" customHeight="true" outlineLevel="0" collapsed="false">
      <c r="A5" s="7" t="s">
        <v>39</v>
      </c>
      <c r="B5" s="5" t="s">
        <v>40</v>
      </c>
      <c r="C5" s="4" t="s">
        <v>41</v>
      </c>
      <c r="D5" s="8" t="s">
        <v>42</v>
      </c>
      <c r="E5" s="7" t="n">
        <f aca="false">COUNTIF('테스트 케이스'!$B:$B,A5)</f>
        <v>4</v>
      </c>
    </row>
    <row r="6" customFormat="false" ht="31.5" hidden="false" customHeight="true" outlineLevel="0" collapsed="false">
      <c r="A6" s="7" t="s">
        <v>43</v>
      </c>
      <c r="B6" s="5" t="s">
        <v>44</v>
      </c>
      <c r="C6" s="5" t="s">
        <v>45</v>
      </c>
      <c r="D6" s="8" t="s">
        <v>32</v>
      </c>
      <c r="E6" s="7" t="n">
        <f aca="false">COUNTIF('테스트 케이스'!$B:$B,A6)</f>
        <v>4</v>
      </c>
    </row>
    <row r="7" customFormat="false" ht="31.5" hidden="false" customHeight="true" outlineLevel="0" collapsed="false">
      <c r="A7" s="7" t="s">
        <v>46</v>
      </c>
      <c r="B7" s="5" t="s">
        <v>47</v>
      </c>
      <c r="C7" s="5" t="s">
        <v>48</v>
      </c>
      <c r="D7" s="8" t="s">
        <v>42</v>
      </c>
      <c r="E7" s="7" t="n">
        <f aca="false">COUNTIF('테스트 케이스'!$B:$B,A7)</f>
        <v>6</v>
      </c>
    </row>
    <row r="8" customFormat="false" ht="31.5" hidden="false" customHeight="true" outlineLevel="0" collapsed="false">
      <c r="A8" s="7" t="s">
        <v>49</v>
      </c>
      <c r="B8" s="5" t="s">
        <v>50</v>
      </c>
      <c r="C8" s="5" t="s">
        <v>51</v>
      </c>
      <c r="D8" s="8" t="s">
        <v>32</v>
      </c>
      <c r="E8" s="7" t="n">
        <f aca="false">COUNTIF('테스트 케이스'!$B:$B,A8)</f>
        <v>7</v>
      </c>
    </row>
    <row r="9" customFormat="false" ht="31.5" hidden="false" customHeight="true" outlineLevel="0" collapsed="false">
      <c r="A9" s="7" t="s">
        <v>52</v>
      </c>
      <c r="B9" s="5" t="s">
        <v>53</v>
      </c>
      <c r="C9" s="5" t="s">
        <v>54</v>
      </c>
      <c r="D9" s="8" t="s">
        <v>32</v>
      </c>
      <c r="E9" s="7" t="n">
        <f aca="false">COUNTIF('테스트 케이스'!$B:$B,A9)</f>
        <v>2</v>
      </c>
    </row>
    <row r="10" customFormat="false" ht="31.5" hidden="false" customHeight="true" outlineLevel="0" collapsed="false">
      <c r="A10" s="7" t="s">
        <v>55</v>
      </c>
      <c r="B10" s="4" t="s">
        <v>56</v>
      </c>
      <c r="C10" s="5" t="s">
        <v>57</v>
      </c>
      <c r="D10" s="8" t="s">
        <v>42</v>
      </c>
      <c r="E10" s="7" t="n">
        <f aca="false">COUNTIF('테스트 케이스'!$B:$B,A10)</f>
        <v>3</v>
      </c>
    </row>
    <row r="11" customFormat="false" ht="31.5" hidden="false" customHeight="true" outlineLevel="0" collapsed="false">
      <c r="A11" s="7" t="s">
        <v>58</v>
      </c>
      <c r="B11" s="5" t="s">
        <v>59</v>
      </c>
      <c r="C11" s="4" t="s">
        <v>60</v>
      </c>
      <c r="D11" s="8" t="s">
        <v>42</v>
      </c>
      <c r="E11" s="7" t="n">
        <f aca="false">COUNTIF('테스트 케이스'!$B:$B,A11)</f>
        <v>2</v>
      </c>
    </row>
    <row r="12" customFormat="false" ht="31.5" hidden="false" customHeight="true" outlineLevel="0" collapsed="false">
      <c r="A12" s="7" t="s">
        <v>61</v>
      </c>
      <c r="B12" s="5" t="s">
        <v>62</v>
      </c>
      <c r="C12" s="5" t="s">
        <v>63</v>
      </c>
      <c r="D12" s="8" t="s">
        <v>42</v>
      </c>
      <c r="E12" s="7" t="n">
        <f aca="false">COUNTIF('테스트 케이스'!$B:$B,A12)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9" t="s">
        <v>64</v>
      </c>
      <c r="B1" s="6" t="s">
        <v>24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  <c r="K1" s="6" t="s">
        <v>73</v>
      </c>
    </row>
    <row r="2" customFormat="false" ht="60" hidden="false" customHeight="true" outlineLevel="0" collapsed="false">
      <c r="A2" s="7" t="s">
        <v>74</v>
      </c>
      <c r="B2" s="7" t="s">
        <v>29</v>
      </c>
      <c r="C2" s="5" t="s">
        <v>75</v>
      </c>
      <c r="D2" s="5" t="s">
        <v>76</v>
      </c>
      <c r="E2" s="4" t="s">
        <v>77</v>
      </c>
      <c r="F2" s="4" t="s">
        <v>78</v>
      </c>
      <c r="G2" s="4" t="s">
        <v>79</v>
      </c>
      <c r="H2" s="4" t="s">
        <v>80</v>
      </c>
      <c r="I2" s="7" t="s">
        <v>81</v>
      </c>
      <c r="J2" s="7" t="s">
        <v>82</v>
      </c>
      <c r="K2" s="4"/>
    </row>
    <row r="3" customFormat="false" ht="60" hidden="false" customHeight="true" outlineLevel="0" collapsed="false">
      <c r="A3" s="7" t="s">
        <v>83</v>
      </c>
      <c r="B3" s="7" t="s">
        <v>29</v>
      </c>
      <c r="C3" s="5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7" t="s">
        <v>81</v>
      </c>
      <c r="J3" s="7" t="s">
        <v>82</v>
      </c>
      <c r="K3" s="4"/>
    </row>
    <row r="4" customFormat="false" ht="60" hidden="false" customHeight="true" outlineLevel="0" collapsed="false">
      <c r="A4" s="7" t="s">
        <v>90</v>
      </c>
      <c r="B4" s="7" t="s">
        <v>29</v>
      </c>
      <c r="C4" s="5" t="s">
        <v>91</v>
      </c>
      <c r="D4" s="4" t="s">
        <v>92</v>
      </c>
      <c r="E4" s="5" t="s">
        <v>93</v>
      </c>
      <c r="F4" s="4" t="s">
        <v>94</v>
      </c>
      <c r="G4" s="4" t="s">
        <v>95</v>
      </c>
      <c r="H4" s="5" t="s">
        <v>96</v>
      </c>
      <c r="I4" s="7" t="s">
        <v>81</v>
      </c>
      <c r="J4" s="7" t="s">
        <v>82</v>
      </c>
      <c r="K4" s="4"/>
    </row>
    <row r="5" customFormat="false" ht="60" hidden="false" customHeight="true" outlineLevel="0" collapsed="false">
      <c r="A5" s="7" t="s">
        <v>97</v>
      </c>
      <c r="B5" s="7" t="s">
        <v>29</v>
      </c>
      <c r="C5" s="5" t="s">
        <v>98</v>
      </c>
      <c r="D5" s="4" t="s">
        <v>92</v>
      </c>
      <c r="E5" s="5" t="s">
        <v>99</v>
      </c>
      <c r="F5" s="4" t="s">
        <v>100</v>
      </c>
      <c r="G5" s="4" t="s">
        <v>101</v>
      </c>
      <c r="H5" s="4" t="s">
        <v>102</v>
      </c>
      <c r="I5" s="7" t="s">
        <v>81</v>
      </c>
      <c r="J5" s="7" t="s">
        <v>82</v>
      </c>
      <c r="K5" s="4"/>
    </row>
    <row r="6" customFormat="false" ht="60" hidden="false" customHeight="true" outlineLevel="0" collapsed="false">
      <c r="A6" s="7" t="s">
        <v>103</v>
      </c>
      <c r="B6" s="7" t="s">
        <v>33</v>
      </c>
      <c r="C6" s="5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5" t="s">
        <v>109</v>
      </c>
      <c r="I6" s="7" t="s">
        <v>81</v>
      </c>
      <c r="J6" s="7" t="s">
        <v>110</v>
      </c>
      <c r="K6" s="5" t="s">
        <v>111</v>
      </c>
    </row>
    <row r="7" customFormat="false" ht="60" hidden="false" customHeight="true" outlineLevel="0" collapsed="false">
      <c r="A7" s="7" t="s">
        <v>112</v>
      </c>
      <c r="B7" s="7" t="s">
        <v>33</v>
      </c>
      <c r="C7" s="4" t="s">
        <v>113</v>
      </c>
      <c r="D7" s="4" t="s">
        <v>114</v>
      </c>
      <c r="E7" s="4" t="s">
        <v>115</v>
      </c>
      <c r="F7" s="4" t="s">
        <v>116</v>
      </c>
      <c r="G7" s="5" t="s">
        <v>117</v>
      </c>
      <c r="H7" s="4" t="s">
        <v>118</v>
      </c>
      <c r="I7" s="7" t="s">
        <v>81</v>
      </c>
      <c r="J7" s="7" t="s">
        <v>82</v>
      </c>
      <c r="K7" s="4"/>
    </row>
    <row r="8" customFormat="false" ht="60" hidden="false" customHeight="true" outlineLevel="0" collapsed="false">
      <c r="A8" s="7" t="s">
        <v>119</v>
      </c>
      <c r="B8" s="7" t="s">
        <v>33</v>
      </c>
      <c r="C8" s="5" t="s">
        <v>120</v>
      </c>
      <c r="D8" s="4" t="s">
        <v>121</v>
      </c>
      <c r="E8" s="5" t="s">
        <v>122</v>
      </c>
      <c r="F8" s="4" t="s">
        <v>123</v>
      </c>
      <c r="G8" s="4" t="s">
        <v>124</v>
      </c>
      <c r="H8" s="5" t="s">
        <v>125</v>
      </c>
      <c r="I8" s="7" t="s">
        <v>81</v>
      </c>
      <c r="J8" s="7" t="s">
        <v>82</v>
      </c>
      <c r="K8" s="4" t="s">
        <v>126</v>
      </c>
    </row>
    <row r="9" customFormat="false" ht="60" hidden="false" customHeight="true" outlineLevel="0" collapsed="false">
      <c r="A9" s="7" t="s">
        <v>127</v>
      </c>
      <c r="B9" s="7" t="s">
        <v>36</v>
      </c>
      <c r="C9" s="5" t="s">
        <v>128</v>
      </c>
      <c r="D9" s="5" t="s">
        <v>129</v>
      </c>
      <c r="E9" s="4" t="s">
        <v>130</v>
      </c>
      <c r="F9" s="4" t="s">
        <v>131</v>
      </c>
      <c r="G9" s="5" t="s">
        <v>132</v>
      </c>
      <c r="H9" s="5" t="s">
        <v>133</v>
      </c>
      <c r="I9" s="7" t="s">
        <v>81</v>
      </c>
      <c r="J9" s="7" t="s">
        <v>82</v>
      </c>
      <c r="K9" s="4" t="s">
        <v>134</v>
      </c>
    </row>
    <row r="10" customFormat="false" ht="60" hidden="false" customHeight="true" outlineLevel="0" collapsed="false">
      <c r="A10" s="7" t="s">
        <v>135</v>
      </c>
      <c r="B10" s="7" t="s">
        <v>36</v>
      </c>
      <c r="C10" s="5" t="s">
        <v>136</v>
      </c>
      <c r="D10" s="5" t="s">
        <v>137</v>
      </c>
      <c r="E10" s="5" t="s">
        <v>138</v>
      </c>
      <c r="F10" s="4" t="s">
        <v>139</v>
      </c>
      <c r="G10" s="5" t="s">
        <v>140</v>
      </c>
      <c r="H10" s="4"/>
      <c r="I10" s="7" t="s">
        <v>141</v>
      </c>
      <c r="J10" s="7"/>
      <c r="K10" s="5" t="s">
        <v>142</v>
      </c>
    </row>
    <row r="11" customFormat="false" ht="60" hidden="false" customHeight="true" outlineLevel="0" collapsed="false">
      <c r="A11" s="7" t="s">
        <v>143</v>
      </c>
      <c r="B11" s="7" t="s">
        <v>36</v>
      </c>
      <c r="C11" s="5" t="s">
        <v>144</v>
      </c>
      <c r="D11" s="5" t="s">
        <v>145</v>
      </c>
      <c r="E11" s="5" t="s">
        <v>146</v>
      </c>
      <c r="F11" s="4" t="s">
        <v>147</v>
      </c>
      <c r="G11" s="5" t="s">
        <v>148</v>
      </c>
      <c r="H11" s="4"/>
      <c r="I11" s="7" t="s">
        <v>141</v>
      </c>
      <c r="J11" s="7"/>
      <c r="K11" s="4"/>
    </row>
    <row r="12" customFormat="false" ht="60" hidden="false" customHeight="true" outlineLevel="0" collapsed="false">
      <c r="A12" s="7" t="s">
        <v>149</v>
      </c>
      <c r="B12" s="7" t="s">
        <v>39</v>
      </c>
      <c r="C12" s="5" t="s">
        <v>150</v>
      </c>
      <c r="D12" s="5" t="s">
        <v>151</v>
      </c>
      <c r="E12" s="5" t="s">
        <v>152</v>
      </c>
      <c r="F12" s="4" t="s">
        <v>78</v>
      </c>
      <c r="G12" s="5" t="s">
        <v>153</v>
      </c>
      <c r="H12" s="5" t="s">
        <v>154</v>
      </c>
      <c r="I12" s="7" t="s">
        <v>81</v>
      </c>
      <c r="J12" s="7" t="s">
        <v>82</v>
      </c>
      <c r="K12" s="4" t="s">
        <v>155</v>
      </c>
    </row>
    <row r="13" customFormat="false" ht="60" hidden="false" customHeight="true" outlineLevel="0" collapsed="false">
      <c r="A13" s="7" t="s">
        <v>156</v>
      </c>
      <c r="B13" s="7" t="s">
        <v>39</v>
      </c>
      <c r="C13" s="5" t="s">
        <v>157</v>
      </c>
      <c r="D13" s="4" t="s">
        <v>158</v>
      </c>
      <c r="E13" s="4" t="s">
        <v>159</v>
      </c>
      <c r="F13" s="4" t="s">
        <v>78</v>
      </c>
      <c r="G13" s="5" t="s">
        <v>160</v>
      </c>
      <c r="H13" s="5" t="s">
        <v>161</v>
      </c>
      <c r="I13" s="7" t="s">
        <v>81</v>
      </c>
      <c r="J13" s="7" t="s">
        <v>82</v>
      </c>
      <c r="K13" s="5" t="s">
        <v>162</v>
      </c>
    </row>
    <row r="14" customFormat="false" ht="60" hidden="false" customHeight="true" outlineLevel="0" collapsed="false">
      <c r="A14" s="7" t="s">
        <v>163</v>
      </c>
      <c r="B14" s="7" t="s">
        <v>39</v>
      </c>
      <c r="C14" s="5" t="s">
        <v>164</v>
      </c>
      <c r="D14" s="4" t="s">
        <v>165</v>
      </c>
      <c r="E14" s="5" t="s">
        <v>166</v>
      </c>
      <c r="F14" s="4" t="s">
        <v>167</v>
      </c>
      <c r="G14" s="5" t="s">
        <v>168</v>
      </c>
      <c r="H14" s="5" t="s">
        <v>169</v>
      </c>
      <c r="I14" s="7" t="s">
        <v>81</v>
      </c>
      <c r="J14" s="7" t="s">
        <v>82</v>
      </c>
      <c r="K14" s="5" t="s">
        <v>170</v>
      </c>
    </row>
    <row r="15" customFormat="false" ht="60" hidden="false" customHeight="true" outlineLevel="0" collapsed="false">
      <c r="A15" s="7" t="s">
        <v>171</v>
      </c>
      <c r="B15" s="7" t="s">
        <v>39</v>
      </c>
      <c r="C15" s="5" t="s">
        <v>172</v>
      </c>
      <c r="D15" s="4" t="s">
        <v>173</v>
      </c>
      <c r="E15" s="5" t="s">
        <v>174</v>
      </c>
      <c r="F15" s="4" t="s">
        <v>78</v>
      </c>
      <c r="G15" s="4" t="s">
        <v>175</v>
      </c>
      <c r="H15" s="4"/>
      <c r="I15" s="7" t="s">
        <v>141</v>
      </c>
      <c r="J15" s="7"/>
      <c r="K15" s="4"/>
    </row>
    <row r="16" customFormat="false" ht="60" hidden="false" customHeight="true" outlineLevel="0" collapsed="false">
      <c r="A16" s="7" t="s">
        <v>176</v>
      </c>
      <c r="B16" s="7" t="s">
        <v>43</v>
      </c>
      <c r="C16" s="5" t="s">
        <v>177</v>
      </c>
      <c r="D16" s="4" t="s">
        <v>178</v>
      </c>
      <c r="E16" s="5" t="s">
        <v>179</v>
      </c>
      <c r="F16" s="4" t="s">
        <v>180</v>
      </c>
      <c r="G16" s="5" t="s">
        <v>181</v>
      </c>
      <c r="H16" s="5" t="s">
        <v>182</v>
      </c>
      <c r="I16" s="7" t="s">
        <v>81</v>
      </c>
      <c r="J16" s="7" t="s">
        <v>82</v>
      </c>
      <c r="K16" s="4"/>
    </row>
    <row r="17" customFormat="false" ht="60" hidden="false" customHeight="true" outlineLevel="0" collapsed="false">
      <c r="A17" s="7" t="s">
        <v>183</v>
      </c>
      <c r="B17" s="7" t="s">
        <v>43</v>
      </c>
      <c r="C17" s="5" t="s">
        <v>184</v>
      </c>
      <c r="D17" s="5" t="s">
        <v>185</v>
      </c>
      <c r="E17" s="5" t="s">
        <v>186</v>
      </c>
      <c r="F17" s="4" t="s">
        <v>187</v>
      </c>
      <c r="G17" s="5" t="s">
        <v>188</v>
      </c>
      <c r="H17" s="4" t="s">
        <v>189</v>
      </c>
      <c r="I17" s="7" t="s">
        <v>81</v>
      </c>
      <c r="J17" s="7" t="s">
        <v>82</v>
      </c>
      <c r="K17" s="5" t="s">
        <v>190</v>
      </c>
    </row>
    <row r="18" customFormat="false" ht="60" hidden="false" customHeight="true" outlineLevel="0" collapsed="false">
      <c r="A18" s="7" t="s">
        <v>191</v>
      </c>
      <c r="B18" s="7" t="s">
        <v>43</v>
      </c>
      <c r="C18" s="5" t="s">
        <v>192</v>
      </c>
      <c r="D18" s="5" t="s">
        <v>193</v>
      </c>
      <c r="E18" s="5" t="s">
        <v>194</v>
      </c>
      <c r="F18" s="4" t="s">
        <v>195</v>
      </c>
      <c r="G18" s="4" t="s">
        <v>196</v>
      </c>
      <c r="H18" s="4"/>
      <c r="I18" s="7" t="s">
        <v>141</v>
      </c>
      <c r="J18" s="7"/>
      <c r="K18" s="5" t="s">
        <v>197</v>
      </c>
    </row>
    <row r="19" customFormat="false" ht="60" hidden="false" customHeight="true" outlineLevel="0" collapsed="false">
      <c r="A19" s="7" t="s">
        <v>198</v>
      </c>
      <c r="B19" s="7" t="s">
        <v>43</v>
      </c>
      <c r="C19" s="5" t="s">
        <v>199</v>
      </c>
      <c r="D19" s="4" t="s">
        <v>200</v>
      </c>
      <c r="E19" s="5" t="s">
        <v>201</v>
      </c>
      <c r="F19" s="5" t="s">
        <v>202</v>
      </c>
      <c r="G19" s="5" t="s">
        <v>203</v>
      </c>
      <c r="H19" s="4"/>
      <c r="I19" s="7" t="s">
        <v>141</v>
      </c>
      <c r="J19" s="7"/>
      <c r="K19" s="4"/>
    </row>
    <row r="20" customFormat="false" ht="60" hidden="false" customHeight="true" outlineLevel="0" collapsed="false">
      <c r="A20" s="7" t="s">
        <v>204</v>
      </c>
      <c r="B20" s="7" t="s">
        <v>46</v>
      </c>
      <c r="C20" s="5" t="s">
        <v>205</v>
      </c>
      <c r="D20" s="4" t="s">
        <v>200</v>
      </c>
      <c r="E20" s="5" t="s">
        <v>206</v>
      </c>
      <c r="F20" s="4" t="s">
        <v>207</v>
      </c>
      <c r="G20" s="4" t="s">
        <v>208</v>
      </c>
      <c r="H20" s="4" t="s">
        <v>209</v>
      </c>
      <c r="I20" s="7" t="s">
        <v>210</v>
      </c>
      <c r="J20" s="7" t="s">
        <v>82</v>
      </c>
      <c r="K20" s="4" t="s">
        <v>211</v>
      </c>
    </row>
    <row r="21" customFormat="false" ht="60" hidden="false" customHeight="true" outlineLevel="0" collapsed="false">
      <c r="A21" s="7" t="s">
        <v>212</v>
      </c>
      <c r="B21" s="7" t="s">
        <v>46</v>
      </c>
      <c r="C21" s="5" t="s">
        <v>213</v>
      </c>
      <c r="D21" s="5" t="s">
        <v>214</v>
      </c>
      <c r="E21" s="4" t="s">
        <v>215</v>
      </c>
      <c r="F21" s="4" t="s">
        <v>78</v>
      </c>
      <c r="G21" s="4" t="s">
        <v>216</v>
      </c>
      <c r="H21" s="5" t="s">
        <v>217</v>
      </c>
      <c r="I21" s="7" t="s">
        <v>210</v>
      </c>
      <c r="J21" s="7" t="s">
        <v>82</v>
      </c>
      <c r="K21" s="4" t="s">
        <v>218</v>
      </c>
    </row>
    <row r="22" customFormat="false" ht="60" hidden="false" customHeight="true" outlineLevel="0" collapsed="false">
      <c r="A22" s="7" t="s">
        <v>219</v>
      </c>
      <c r="B22" s="7" t="s">
        <v>46</v>
      </c>
      <c r="C22" s="5" t="s">
        <v>220</v>
      </c>
      <c r="D22" s="5" t="s">
        <v>214</v>
      </c>
      <c r="E22" s="5" t="s">
        <v>221</v>
      </c>
      <c r="F22" s="4" t="s">
        <v>222</v>
      </c>
      <c r="G22" s="4" t="s">
        <v>223</v>
      </c>
      <c r="H22" s="4" t="s">
        <v>224</v>
      </c>
      <c r="I22" s="7" t="s">
        <v>81</v>
      </c>
      <c r="J22" s="7" t="s">
        <v>82</v>
      </c>
      <c r="K22" s="4"/>
    </row>
    <row r="23" customFormat="false" ht="60" hidden="false" customHeight="true" outlineLevel="0" collapsed="false">
      <c r="A23" s="7" t="s">
        <v>225</v>
      </c>
      <c r="B23" s="7" t="s">
        <v>46</v>
      </c>
      <c r="C23" s="5" t="s">
        <v>226</v>
      </c>
      <c r="D23" s="5" t="s">
        <v>227</v>
      </c>
      <c r="E23" s="5" t="s">
        <v>228</v>
      </c>
      <c r="F23" s="4" t="s">
        <v>78</v>
      </c>
      <c r="G23" s="5" t="s">
        <v>229</v>
      </c>
      <c r="H23" s="4"/>
      <c r="I23" s="7" t="s">
        <v>141</v>
      </c>
      <c r="J23" s="7"/>
      <c r="K23" s="4" t="s">
        <v>230</v>
      </c>
    </row>
    <row r="24" customFormat="false" ht="60" hidden="false" customHeight="true" outlineLevel="0" collapsed="false">
      <c r="A24" s="7" t="s">
        <v>231</v>
      </c>
      <c r="B24" s="7" t="s">
        <v>49</v>
      </c>
      <c r="C24" s="5" t="s">
        <v>232</v>
      </c>
      <c r="D24" s="4" t="s">
        <v>200</v>
      </c>
      <c r="E24" s="5" t="s">
        <v>233</v>
      </c>
      <c r="F24" s="4" t="s">
        <v>234</v>
      </c>
      <c r="G24" s="5" t="s">
        <v>235</v>
      </c>
      <c r="H24" s="5" t="s">
        <v>236</v>
      </c>
      <c r="I24" s="7" t="s">
        <v>210</v>
      </c>
      <c r="J24" s="7" t="s">
        <v>82</v>
      </c>
      <c r="K24" s="4" t="s">
        <v>237</v>
      </c>
    </row>
    <row r="25" customFormat="false" ht="60" hidden="false" customHeight="true" outlineLevel="0" collapsed="false">
      <c r="A25" s="7" t="s">
        <v>238</v>
      </c>
      <c r="B25" s="7" t="s">
        <v>49</v>
      </c>
      <c r="C25" s="4" t="s">
        <v>239</v>
      </c>
      <c r="D25" s="4" t="s">
        <v>240</v>
      </c>
      <c r="E25" s="5" t="s">
        <v>241</v>
      </c>
      <c r="F25" s="4" t="s">
        <v>242</v>
      </c>
      <c r="G25" s="5" t="s">
        <v>243</v>
      </c>
      <c r="H25" s="5" t="s">
        <v>244</v>
      </c>
      <c r="I25" s="7" t="s">
        <v>210</v>
      </c>
      <c r="J25" s="7" t="s">
        <v>82</v>
      </c>
      <c r="K25" s="4" t="s">
        <v>245</v>
      </c>
    </row>
    <row r="26" customFormat="false" ht="60" hidden="false" customHeight="true" outlineLevel="0" collapsed="false">
      <c r="A26" s="7" t="s">
        <v>246</v>
      </c>
      <c r="B26" s="7" t="s">
        <v>49</v>
      </c>
      <c r="C26" s="4" t="s">
        <v>247</v>
      </c>
      <c r="D26" s="5" t="s">
        <v>248</v>
      </c>
      <c r="E26" s="5" t="s">
        <v>249</v>
      </c>
      <c r="F26" s="4" t="s">
        <v>250</v>
      </c>
      <c r="G26" s="5" t="s">
        <v>251</v>
      </c>
      <c r="H26" s="4"/>
      <c r="I26" s="7" t="s">
        <v>141</v>
      </c>
      <c r="J26" s="7"/>
      <c r="K26" s="5" t="s">
        <v>252</v>
      </c>
    </row>
    <row r="27" customFormat="false" ht="60" hidden="false" customHeight="true" outlineLevel="0" collapsed="false">
      <c r="A27" s="7" t="s">
        <v>253</v>
      </c>
      <c r="B27" s="7" t="s">
        <v>52</v>
      </c>
      <c r="C27" s="4" t="s">
        <v>254</v>
      </c>
      <c r="D27" s="5" t="s">
        <v>255</v>
      </c>
      <c r="E27" s="5" t="s">
        <v>256</v>
      </c>
      <c r="F27" s="4" t="s">
        <v>257</v>
      </c>
      <c r="G27" s="5" t="s">
        <v>258</v>
      </c>
      <c r="H27" s="4"/>
      <c r="I27" s="7" t="s">
        <v>141</v>
      </c>
      <c r="J27" s="7"/>
      <c r="K27" s="4"/>
    </row>
    <row r="28" customFormat="false" ht="60" hidden="false" customHeight="true" outlineLevel="0" collapsed="false">
      <c r="A28" s="7" t="s">
        <v>259</v>
      </c>
      <c r="B28" s="7" t="s">
        <v>52</v>
      </c>
      <c r="C28" s="4" t="s">
        <v>260</v>
      </c>
      <c r="D28" s="5" t="s">
        <v>255</v>
      </c>
      <c r="E28" s="4" t="s">
        <v>261</v>
      </c>
      <c r="F28" s="4" t="s">
        <v>78</v>
      </c>
      <c r="G28" s="5" t="s">
        <v>262</v>
      </c>
      <c r="H28" s="4"/>
      <c r="I28" s="7" t="s">
        <v>141</v>
      </c>
      <c r="J28" s="7"/>
      <c r="K28" s="4"/>
    </row>
    <row r="29" customFormat="false" ht="60" hidden="false" customHeight="true" outlineLevel="0" collapsed="false">
      <c r="A29" s="7" t="s">
        <v>263</v>
      </c>
      <c r="B29" s="7" t="s">
        <v>55</v>
      </c>
      <c r="C29" s="4" t="s">
        <v>264</v>
      </c>
      <c r="D29" s="4" t="s">
        <v>265</v>
      </c>
      <c r="E29" s="5" t="s">
        <v>266</v>
      </c>
      <c r="F29" s="4" t="s">
        <v>267</v>
      </c>
      <c r="G29" s="5" t="s">
        <v>268</v>
      </c>
      <c r="H29" s="4" t="s">
        <v>269</v>
      </c>
      <c r="I29" s="7" t="s">
        <v>141</v>
      </c>
      <c r="J29" s="7"/>
      <c r="K29" s="4" t="s">
        <v>270</v>
      </c>
    </row>
    <row r="30" customFormat="false" ht="60" hidden="false" customHeight="true" outlineLevel="0" collapsed="false">
      <c r="A30" s="7" t="s">
        <v>271</v>
      </c>
      <c r="B30" s="7" t="s">
        <v>55</v>
      </c>
      <c r="C30" s="4" t="s">
        <v>272</v>
      </c>
      <c r="D30" s="4" t="s">
        <v>273</v>
      </c>
      <c r="E30" s="4" t="s">
        <v>274</v>
      </c>
      <c r="F30" s="4" t="s">
        <v>275</v>
      </c>
      <c r="G30" s="4" t="s">
        <v>276</v>
      </c>
      <c r="H30" s="4"/>
      <c r="I30" s="7" t="s">
        <v>141</v>
      </c>
      <c r="J30" s="7"/>
      <c r="K30" s="4"/>
    </row>
    <row r="31" customFormat="false" ht="60" hidden="false" customHeight="true" outlineLevel="0" collapsed="false">
      <c r="A31" s="7" t="s">
        <v>277</v>
      </c>
      <c r="B31" s="7" t="s">
        <v>55</v>
      </c>
      <c r="C31" s="4" t="s">
        <v>278</v>
      </c>
      <c r="D31" s="4" t="s">
        <v>279</v>
      </c>
      <c r="E31" s="4" t="s">
        <v>280</v>
      </c>
      <c r="F31" s="4" t="s">
        <v>281</v>
      </c>
      <c r="G31" s="4" t="s">
        <v>282</v>
      </c>
      <c r="H31" s="5" t="s">
        <v>283</v>
      </c>
      <c r="I31" s="7" t="s">
        <v>81</v>
      </c>
      <c r="J31" s="7" t="s">
        <v>82</v>
      </c>
      <c r="K31" s="4" t="s">
        <v>284</v>
      </c>
    </row>
    <row r="32" customFormat="false" ht="60" hidden="false" customHeight="true" outlineLevel="0" collapsed="false">
      <c r="A32" s="7" t="s">
        <v>285</v>
      </c>
      <c r="B32" s="7" t="s">
        <v>58</v>
      </c>
      <c r="C32" s="5" t="s">
        <v>286</v>
      </c>
      <c r="D32" s="4" t="s">
        <v>287</v>
      </c>
      <c r="E32" s="4" t="s">
        <v>288</v>
      </c>
      <c r="F32" s="4" t="s">
        <v>78</v>
      </c>
      <c r="G32" s="5" t="s">
        <v>289</v>
      </c>
      <c r="H32" s="5" t="s">
        <v>290</v>
      </c>
      <c r="I32" s="7" t="s">
        <v>81</v>
      </c>
      <c r="J32" s="7" t="s">
        <v>82</v>
      </c>
      <c r="K32" s="4"/>
    </row>
    <row r="33" customFormat="false" ht="60" hidden="false" customHeight="true" outlineLevel="0" collapsed="false">
      <c r="A33" s="7" t="s">
        <v>291</v>
      </c>
      <c r="B33" s="7" t="s">
        <v>58</v>
      </c>
      <c r="C33" s="5" t="s">
        <v>292</v>
      </c>
      <c r="D33" s="5" t="s">
        <v>293</v>
      </c>
      <c r="E33" s="4" t="s">
        <v>294</v>
      </c>
      <c r="F33" s="4" t="s">
        <v>295</v>
      </c>
      <c r="G33" s="5" t="s">
        <v>296</v>
      </c>
      <c r="H33" s="4" t="s">
        <v>297</v>
      </c>
      <c r="I33" s="7" t="s">
        <v>210</v>
      </c>
      <c r="J33" s="7" t="s">
        <v>82</v>
      </c>
      <c r="K33" s="4" t="s">
        <v>298</v>
      </c>
    </row>
    <row r="34" customFormat="false" ht="60" hidden="false" customHeight="true" outlineLevel="0" collapsed="false">
      <c r="A34" s="7" t="s">
        <v>299</v>
      </c>
      <c r="B34" s="7" t="s">
        <v>46</v>
      </c>
      <c r="C34" s="5" t="s">
        <v>300</v>
      </c>
      <c r="D34" s="5" t="s">
        <v>301</v>
      </c>
      <c r="E34" s="4" t="s">
        <v>302</v>
      </c>
      <c r="F34" s="4" t="s">
        <v>303</v>
      </c>
      <c r="G34" s="5" t="s">
        <v>304</v>
      </c>
      <c r="H34" s="5" t="s">
        <v>305</v>
      </c>
      <c r="I34" s="7" t="s">
        <v>81</v>
      </c>
      <c r="J34" s="7" t="s">
        <v>82</v>
      </c>
      <c r="K34" s="4" t="s">
        <v>306</v>
      </c>
    </row>
    <row r="35" customFormat="false" ht="60" hidden="false" customHeight="true" outlineLevel="0" collapsed="false">
      <c r="A35" s="7" t="s">
        <v>307</v>
      </c>
      <c r="B35" s="7" t="s">
        <v>46</v>
      </c>
      <c r="C35" s="5" t="s">
        <v>308</v>
      </c>
      <c r="D35" s="5" t="s">
        <v>309</v>
      </c>
      <c r="E35" s="4" t="s">
        <v>310</v>
      </c>
      <c r="F35" s="4" t="s">
        <v>207</v>
      </c>
      <c r="G35" s="5" t="s">
        <v>311</v>
      </c>
      <c r="H35" s="5" t="s">
        <v>312</v>
      </c>
      <c r="I35" s="7" t="s">
        <v>81</v>
      </c>
      <c r="J35" s="7" t="s">
        <v>82</v>
      </c>
      <c r="K35" s="4"/>
    </row>
    <row r="36" customFormat="false" ht="60" hidden="false" customHeight="true" outlineLevel="0" collapsed="false">
      <c r="A36" s="7" t="s">
        <v>313</v>
      </c>
      <c r="B36" s="7" t="s">
        <v>49</v>
      </c>
      <c r="C36" s="5" t="s">
        <v>314</v>
      </c>
      <c r="D36" s="5" t="s">
        <v>315</v>
      </c>
      <c r="E36" s="4" t="s">
        <v>316</v>
      </c>
      <c r="F36" s="4" t="s">
        <v>317</v>
      </c>
      <c r="G36" s="5" t="s">
        <v>318</v>
      </c>
      <c r="H36" s="5" t="s">
        <v>319</v>
      </c>
      <c r="I36" s="7" t="s">
        <v>81</v>
      </c>
      <c r="J36" s="7" t="s">
        <v>82</v>
      </c>
      <c r="K36" s="4"/>
    </row>
    <row r="37" customFormat="false" ht="60" hidden="false" customHeight="true" outlineLevel="0" collapsed="false">
      <c r="A37" s="7" t="s">
        <v>320</v>
      </c>
      <c r="B37" s="7" t="s">
        <v>49</v>
      </c>
      <c r="C37" s="5" t="s">
        <v>321</v>
      </c>
      <c r="D37" s="5" t="s">
        <v>322</v>
      </c>
      <c r="E37" s="4" t="s">
        <v>323</v>
      </c>
      <c r="F37" s="4" t="s">
        <v>324</v>
      </c>
      <c r="G37" s="5" t="s">
        <v>325</v>
      </c>
      <c r="H37" s="5" t="s">
        <v>326</v>
      </c>
      <c r="I37" s="7" t="s">
        <v>210</v>
      </c>
      <c r="J37" s="7" t="s">
        <v>82</v>
      </c>
      <c r="K37" s="4" t="s">
        <v>327</v>
      </c>
    </row>
    <row r="38" customFormat="false" ht="60" hidden="false" customHeight="true" outlineLevel="0" collapsed="false">
      <c r="A38" s="7" t="s">
        <v>328</v>
      </c>
      <c r="B38" s="7" t="s">
        <v>49</v>
      </c>
      <c r="C38" s="5" t="s">
        <v>329</v>
      </c>
      <c r="D38" s="5" t="s">
        <v>330</v>
      </c>
      <c r="E38" s="4" t="s">
        <v>331</v>
      </c>
      <c r="F38" s="4" t="s">
        <v>332</v>
      </c>
      <c r="G38" s="4" t="s">
        <v>333</v>
      </c>
      <c r="H38" s="4" t="s">
        <v>334</v>
      </c>
      <c r="I38" s="7" t="s">
        <v>81</v>
      </c>
      <c r="J38" s="7" t="s">
        <v>82</v>
      </c>
      <c r="K38" s="4" t="s">
        <v>335</v>
      </c>
    </row>
    <row r="39" customFormat="false" ht="60" hidden="false" customHeight="true" outlineLevel="0" collapsed="false">
      <c r="A39" s="7" t="s">
        <v>336</v>
      </c>
      <c r="B39" s="7" t="s">
        <v>49</v>
      </c>
      <c r="C39" s="5" t="s">
        <v>337</v>
      </c>
      <c r="D39" s="4" t="s">
        <v>338</v>
      </c>
      <c r="E39" s="4" t="s">
        <v>339</v>
      </c>
      <c r="F39" s="4" t="s">
        <v>332</v>
      </c>
      <c r="G39" s="5" t="s">
        <v>340</v>
      </c>
      <c r="H39" s="4" t="s">
        <v>341</v>
      </c>
      <c r="I39" s="7" t="s">
        <v>342</v>
      </c>
      <c r="J39" s="7" t="s">
        <v>82</v>
      </c>
      <c r="K39" s="5" t="s">
        <v>343</v>
      </c>
    </row>
    <row r="40" customFormat="false" ht="60" hidden="false" customHeight="true" outlineLevel="0" collapsed="false">
      <c r="A40" s="7" t="s">
        <v>344</v>
      </c>
      <c r="B40" s="7" t="s">
        <v>61</v>
      </c>
      <c r="C40" s="4" t="s">
        <v>345</v>
      </c>
      <c r="D40" s="5" t="s">
        <v>346</v>
      </c>
      <c r="E40" s="4" t="s">
        <v>347</v>
      </c>
      <c r="F40" s="4" t="s">
        <v>348</v>
      </c>
      <c r="G40" s="5" t="s">
        <v>349</v>
      </c>
      <c r="H40" s="5" t="s">
        <v>350</v>
      </c>
      <c r="I40" s="7" t="s">
        <v>210</v>
      </c>
      <c r="J40" s="7" t="s">
        <v>82</v>
      </c>
      <c r="K40" s="4" t="s">
        <v>351</v>
      </c>
    </row>
    <row r="41" customFormat="false" ht="60" hidden="false" customHeight="true" outlineLevel="0" collapsed="false">
      <c r="A41" s="7" t="s">
        <v>352</v>
      </c>
      <c r="B41" s="7" t="s">
        <v>61</v>
      </c>
      <c r="C41" s="5" t="s">
        <v>353</v>
      </c>
      <c r="D41" s="4" t="s">
        <v>354</v>
      </c>
      <c r="E41" s="4" t="s">
        <v>355</v>
      </c>
      <c r="F41" s="4" t="s">
        <v>356</v>
      </c>
      <c r="G41" s="4" t="s">
        <v>357</v>
      </c>
      <c r="H41" s="4" t="s">
        <v>358</v>
      </c>
      <c r="I41" s="7" t="s">
        <v>81</v>
      </c>
      <c r="J41" s="7" t="s">
        <v>82</v>
      </c>
      <c r="K41" s="4"/>
    </row>
    <row r="42" customFormat="false" ht="60" hidden="false" customHeight="true" outlineLevel="0" collapsed="false">
      <c r="A42" s="7" t="s">
        <v>359</v>
      </c>
      <c r="B42" s="7" t="s">
        <v>61</v>
      </c>
      <c r="C42" s="5" t="s">
        <v>360</v>
      </c>
      <c r="D42" s="5" t="s">
        <v>361</v>
      </c>
      <c r="E42" s="5" t="s">
        <v>362</v>
      </c>
      <c r="F42" s="4" t="s">
        <v>78</v>
      </c>
      <c r="G42" s="4" t="s">
        <v>363</v>
      </c>
      <c r="H42" s="4" t="s">
        <v>364</v>
      </c>
      <c r="I42" s="7" t="s">
        <v>81</v>
      </c>
      <c r="J42" s="7" t="s">
        <v>82</v>
      </c>
      <c r="K42" s="5" t="s">
        <v>365</v>
      </c>
    </row>
    <row r="43" customFormat="false" ht="60" hidden="false" customHeight="true" outlineLevel="0" collapsed="false">
      <c r="A43" s="7" t="s">
        <v>366</v>
      </c>
      <c r="B43" s="7" t="s">
        <v>61</v>
      </c>
      <c r="C43" s="5" t="s">
        <v>367</v>
      </c>
      <c r="D43" s="5" t="s">
        <v>368</v>
      </c>
      <c r="E43" s="5" t="s">
        <v>369</v>
      </c>
      <c r="F43" s="5" t="s">
        <v>370</v>
      </c>
      <c r="G43" s="5" t="s">
        <v>371</v>
      </c>
      <c r="H43" s="5" t="s">
        <v>372</v>
      </c>
      <c r="I43" s="7" t="s">
        <v>81</v>
      </c>
      <c r="J43" s="7" t="s">
        <v>82</v>
      </c>
      <c r="K43" s="4" t="s">
        <v>373</v>
      </c>
    </row>
    <row r="44" customFormat="false" ht="60" hidden="false" customHeight="true" outlineLevel="0" collapsed="false">
      <c r="A44" s="7" t="s">
        <v>374</v>
      </c>
      <c r="B44" s="7" t="s">
        <v>61</v>
      </c>
      <c r="C44" s="5" t="s">
        <v>375</v>
      </c>
      <c r="D44" s="5" t="s">
        <v>376</v>
      </c>
      <c r="E44" s="4" t="s">
        <v>377</v>
      </c>
      <c r="F44" s="4" t="s">
        <v>378</v>
      </c>
      <c r="G44" s="5" t="s">
        <v>379</v>
      </c>
      <c r="H44" s="5" t="s">
        <v>380</v>
      </c>
      <c r="I44" s="7" t="s">
        <v>210</v>
      </c>
      <c r="J44" s="7" t="s">
        <v>82</v>
      </c>
      <c r="K44" s="4" t="s">
        <v>381</v>
      </c>
    </row>
  </sheetData>
  <autoFilter ref="A1:K44"/>
  <conditionalFormatting sqref="I2:I94">
    <cfRule type="cellIs" priority="2" operator="equal" aboveAverage="0" equalAverage="0" bottom="0" percent="0" rank="0" text="" dxfId="12">
      <formula>"Pass"</formula>
    </cfRule>
    <cfRule type="cellIs" priority="3" operator="equal" aboveAverage="0" equalAverage="0" bottom="0" percent="0" rank="0" text="" dxfId="13">
      <formula>"Fail"</formula>
    </cfRule>
    <cfRule type="cellIs" priority="4" operator="equal" aboveAverage="0" equalAverage="0" bottom="0" percent="0" rank="0" text="" dxfId="14">
      <formula>"Blocked"</formula>
    </cfRule>
    <cfRule type="cellIs" priority="5" operator="equal" aboveAverage="0" equalAverage="0" bottom="0" percent="0" rank="0" text="" dxfId="15">
      <formula>"Not Run"</formula>
    </cfRule>
  </conditionalFormatting>
  <dataValidations count="1">
    <dataValidation allowBlank="true" errorStyle="stop" operator="between" showDropDown="false" showErrorMessage="false" showInputMessage="false" sqref="I2:I9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5" min="3" style="0" width="8"/>
    <col collapsed="false" customWidth="true" hidden="false" outlineLevel="0" max="7" min="6" style="0" width="9"/>
    <col collapsed="false" customWidth="true" hidden="false" outlineLevel="0" max="9" min="8" style="0" width="10"/>
  </cols>
  <sheetData>
    <row r="1" customFormat="false" ht="30" hidden="false" customHeight="true" outlineLevel="0" collapsed="false">
      <c r="A1" s="6" t="s">
        <v>24</v>
      </c>
      <c r="B1" s="6" t="s">
        <v>25</v>
      </c>
      <c r="C1" s="6" t="s">
        <v>382</v>
      </c>
      <c r="D1" s="9" t="s">
        <v>81</v>
      </c>
      <c r="E1" s="9" t="s">
        <v>210</v>
      </c>
      <c r="F1" s="9" t="s">
        <v>342</v>
      </c>
      <c r="G1" s="9" t="s">
        <v>141</v>
      </c>
      <c r="H1" s="6" t="s">
        <v>383</v>
      </c>
      <c r="I1" s="6" t="s">
        <v>384</v>
      </c>
    </row>
    <row r="2" customFormat="false" ht="15" hidden="false" customHeight="false" outlineLevel="0" collapsed="false">
      <c r="A2" s="7" t="str">
        <f aca="false">'테스트 시나리오'!A2</f>
        <v>TS-01</v>
      </c>
      <c r="B2" s="4" t="str">
        <f aca="false">'테스트 시나리오'!B2</f>
        <v>WiFi 통신 연결</v>
      </c>
      <c r="C2" s="7" t="n">
        <f aca="false">COUNTIF('테스트 케이스'!$B:$B,A2)</f>
        <v>4</v>
      </c>
      <c r="D2" s="7" t="n">
        <f aca="false">COUNTIFS('테스트 케이스'!$B:$B,A2,'테스트 케이스'!$I:$I,"Pass")</f>
        <v>4</v>
      </c>
      <c r="E2" s="7" t="n">
        <f aca="false">COUNTIFS('테스트 케이스'!$B:$B,A2,'테스트 케이스'!$I:$I,"Fail")</f>
        <v>0</v>
      </c>
      <c r="F2" s="7" t="n">
        <f aca="false">COUNTIFS('테스트 케이스'!$B:$B,A2,'테스트 케이스'!$I:$I,"Blocked")</f>
        <v>0</v>
      </c>
      <c r="G2" s="7" t="n">
        <f aca="false">COUNTIFS('테스트 케이스'!$B:$B,A2,'테스트 케이스'!$I:$I,"Not Run")</f>
        <v>0</v>
      </c>
      <c r="H2" s="10" t="n">
        <f aca="false">IF(C2=0,0,(C2-F2-G2)/C2)</f>
        <v>1</v>
      </c>
      <c r="I2" s="10" t="n">
        <f aca="false">IF((C2-F2-G2)=0,0,D2/(C2-F2-G2))</f>
        <v>1</v>
      </c>
    </row>
    <row r="3" customFormat="false" ht="15" hidden="false" customHeight="false" outlineLevel="0" collapsed="false">
      <c r="A3" s="7" t="str">
        <f aca="false">'테스트 시나리오'!A3</f>
        <v>TS-02</v>
      </c>
      <c r="B3" s="4" t="str">
        <f aca="false">'테스트 시나리오'!B3</f>
        <v>이동 제어</v>
      </c>
      <c r="C3" s="7" t="n">
        <f aca="false">COUNTIF('테스트 케이스'!$B:$B,A3)</f>
        <v>3</v>
      </c>
      <c r="D3" s="7" t="n">
        <f aca="false">COUNTIFS('테스트 케이스'!$B:$B,A3,'테스트 케이스'!$I:$I,"Pass")</f>
        <v>3</v>
      </c>
      <c r="E3" s="7" t="n">
        <f aca="false">COUNTIFS('테스트 케이스'!$B:$B,A3,'테스트 케이스'!$I:$I,"Fail")</f>
        <v>0</v>
      </c>
      <c r="F3" s="7" t="n">
        <f aca="false">COUNTIFS('테스트 케이스'!$B:$B,A3,'테스트 케이스'!$I:$I,"Blocked")</f>
        <v>0</v>
      </c>
      <c r="G3" s="7" t="n">
        <f aca="false">COUNTIFS('테스트 케이스'!$B:$B,A3,'테스트 케이스'!$I:$I,"Not Run")</f>
        <v>0</v>
      </c>
      <c r="H3" s="10" t="n">
        <f aca="false">IF(C3=0,0,(C3-F3-G3)/C3)</f>
        <v>1</v>
      </c>
      <c r="I3" s="10" t="n">
        <f aca="false">IF((C3-F3-G3)=0,0,D3/(C3-F3-G3))</f>
        <v>1</v>
      </c>
    </row>
    <row r="4" customFormat="false" ht="15" hidden="false" customHeight="false" outlineLevel="0" collapsed="false">
      <c r="A4" s="7" t="str">
        <f aca="false">'테스트 시나리오'!A4</f>
        <v>TS-03</v>
      </c>
      <c r="B4" s="4" t="str">
        <f aca="false">'테스트 시나리오'!B4</f>
        <v>로봇 자체 안전장치(Tier1)</v>
      </c>
      <c r="C4" s="7" t="n">
        <f aca="false">COUNTIF('테스트 케이스'!$B:$B,A4)</f>
        <v>3</v>
      </c>
      <c r="D4" s="7" t="n">
        <f aca="false">COUNTIFS('테스트 케이스'!$B:$B,A4,'테스트 케이스'!$I:$I,"Pass")</f>
        <v>1</v>
      </c>
      <c r="E4" s="7" t="n">
        <f aca="false">COUNTIFS('테스트 케이스'!$B:$B,A4,'테스트 케이스'!$I:$I,"Fail")</f>
        <v>0</v>
      </c>
      <c r="F4" s="7" t="n">
        <f aca="false">COUNTIFS('테스트 케이스'!$B:$B,A4,'테스트 케이스'!$I:$I,"Blocked")</f>
        <v>0</v>
      </c>
      <c r="G4" s="7" t="n">
        <f aca="false">COUNTIFS('테스트 케이스'!$B:$B,A4,'테스트 케이스'!$I:$I,"Not Run")</f>
        <v>2</v>
      </c>
      <c r="H4" s="10" t="n">
        <f aca="false">IF(C4=0,0,(C4-F4-G4)/C4)</f>
        <v>0.333333333333333</v>
      </c>
      <c r="I4" s="10" t="n">
        <f aca="false">IF((C4-F4-G4)=0,0,D4/(C4-F4-G4))</f>
        <v>1</v>
      </c>
    </row>
    <row r="5" customFormat="false" ht="15" hidden="false" customHeight="false" outlineLevel="0" collapsed="false">
      <c r="A5" s="7" t="str">
        <f aca="false">'테스트 시나리오'!A5</f>
        <v>TS-04</v>
      </c>
      <c r="B5" s="4" t="str">
        <f aca="false">'테스트 시나리오'!B5</f>
        <v>카메라 스트리밍</v>
      </c>
      <c r="C5" s="7" t="n">
        <f aca="false">COUNTIF('테스트 케이스'!$B:$B,A5)</f>
        <v>4</v>
      </c>
      <c r="D5" s="7" t="n">
        <f aca="false">COUNTIFS('테스트 케이스'!$B:$B,A5,'테스트 케이스'!$I:$I,"Pass")</f>
        <v>3</v>
      </c>
      <c r="E5" s="7" t="n">
        <f aca="false">COUNTIFS('테스트 케이스'!$B:$B,A5,'테스트 케이스'!$I:$I,"Fail")</f>
        <v>0</v>
      </c>
      <c r="F5" s="7" t="n">
        <f aca="false">COUNTIFS('테스트 케이스'!$B:$B,A5,'테스트 케이스'!$I:$I,"Blocked")</f>
        <v>0</v>
      </c>
      <c r="G5" s="7" t="n">
        <f aca="false">COUNTIFS('테스트 케이스'!$B:$B,A5,'테스트 케이스'!$I:$I,"Not Run")</f>
        <v>1</v>
      </c>
      <c r="H5" s="10" t="n">
        <f aca="false">IF(C5=0,0,(C5-F5-G5)/C5)</f>
        <v>0.75</v>
      </c>
      <c r="I5" s="10" t="n">
        <f aca="false">IF((C5-F5-G5)=0,0,D5/(C5-F5-G5))</f>
        <v>1</v>
      </c>
    </row>
    <row r="6" customFormat="false" ht="15" hidden="false" customHeight="false" outlineLevel="0" collapsed="false">
      <c r="A6" s="7" t="str">
        <f aca="false">'테스트 시나리오'!A6</f>
        <v>TS-05</v>
      </c>
      <c r="B6" s="4" t="str">
        <f aca="false">'테스트 시나리오'!B6</f>
        <v>에스코트 주행</v>
      </c>
      <c r="C6" s="7" t="n">
        <f aca="false">COUNTIF('테스트 케이스'!$B:$B,A6)</f>
        <v>4</v>
      </c>
      <c r="D6" s="7" t="n">
        <f aca="false">COUNTIFS('테스트 케이스'!$B:$B,A6,'테스트 케이스'!$I:$I,"Pass")</f>
        <v>2</v>
      </c>
      <c r="E6" s="7" t="n">
        <f aca="false">COUNTIFS('테스트 케이스'!$B:$B,A6,'테스트 케이스'!$I:$I,"Fail")</f>
        <v>0</v>
      </c>
      <c r="F6" s="7" t="n">
        <f aca="false">COUNTIFS('테스트 케이스'!$B:$B,A6,'테스트 케이스'!$I:$I,"Blocked")</f>
        <v>0</v>
      </c>
      <c r="G6" s="7" t="n">
        <f aca="false">COUNTIFS('테스트 케이스'!$B:$B,A6,'테스트 케이스'!$I:$I,"Not Run")</f>
        <v>2</v>
      </c>
      <c r="H6" s="10" t="n">
        <f aca="false">IF(C6=0,0,(C6-F6-G6)/C6)</f>
        <v>0.5</v>
      </c>
      <c r="I6" s="10" t="n">
        <f aca="false">IF((C6-F6-G6)=0,0,D6/(C6-F6-G6))</f>
        <v>1</v>
      </c>
    </row>
    <row r="7" customFormat="false" ht="15" hidden="false" customHeight="false" outlineLevel="0" collapsed="false">
      <c r="A7" s="7" t="str">
        <f aca="false">'테스트 시나리오'!A7</f>
        <v>TS-06</v>
      </c>
      <c r="B7" s="4" t="str">
        <f aca="false">'테스트 시나리오'!B7</f>
        <v>도착 인터랙션</v>
      </c>
      <c r="C7" s="7" t="n">
        <f aca="false">COUNTIF('테스트 케이스'!$B:$B,A7)</f>
        <v>6</v>
      </c>
      <c r="D7" s="7" t="n">
        <f aca="false">COUNTIFS('테스트 케이스'!$B:$B,A7,'테스트 케이스'!$I:$I,"Pass")</f>
        <v>3</v>
      </c>
      <c r="E7" s="7" t="n">
        <f aca="false">COUNTIFS('테스트 케이스'!$B:$B,A7,'테스트 케이스'!$I:$I,"Fail")</f>
        <v>2</v>
      </c>
      <c r="F7" s="7" t="n">
        <f aca="false">COUNTIFS('테스트 케이스'!$B:$B,A7,'테스트 케이스'!$I:$I,"Blocked")</f>
        <v>0</v>
      </c>
      <c r="G7" s="7" t="n">
        <f aca="false">COUNTIFS('테스트 케이스'!$B:$B,A7,'테스트 케이스'!$I:$I,"Not Run")</f>
        <v>1</v>
      </c>
      <c r="H7" s="10" t="n">
        <f aca="false">IF(C7=0,0,(C7-F7-G7)/C7)</f>
        <v>0.833333333333333</v>
      </c>
      <c r="I7" s="10" t="n">
        <f aca="false">IF((C7-F7-G7)=0,0,D7/(C7-F7-G7))</f>
        <v>0.6</v>
      </c>
    </row>
    <row r="8" customFormat="false" ht="15" hidden="false" customHeight="false" outlineLevel="0" collapsed="false">
      <c r="A8" s="7" t="str">
        <f aca="false">'테스트 시나리오'!A8</f>
        <v>TS-07</v>
      </c>
      <c r="B8" s="4" t="str">
        <f aca="false">'테스트 시나리오'!B8</f>
        <v>출발지 복귀</v>
      </c>
      <c r="C8" s="7" t="n">
        <f aca="false">COUNTIF('테스트 케이스'!$B:$B,A8)</f>
        <v>7</v>
      </c>
      <c r="D8" s="7" t="n">
        <f aca="false">COUNTIFS('테스트 케이스'!$B:$B,A8,'테스트 케이스'!$I:$I,"Pass")</f>
        <v>2</v>
      </c>
      <c r="E8" s="7" t="n">
        <f aca="false">COUNTIFS('테스트 케이스'!$B:$B,A8,'테스트 케이스'!$I:$I,"Fail")</f>
        <v>3</v>
      </c>
      <c r="F8" s="7" t="n">
        <f aca="false">COUNTIFS('테스트 케이스'!$B:$B,A8,'테스트 케이스'!$I:$I,"Blocked")</f>
        <v>1</v>
      </c>
      <c r="G8" s="7" t="n">
        <f aca="false">COUNTIFS('테스트 케이스'!$B:$B,A8,'테스트 케이스'!$I:$I,"Not Run")</f>
        <v>1</v>
      </c>
      <c r="H8" s="10" t="n">
        <f aca="false">IF(C8=0,0,(C8-F8-G8)/C8)</f>
        <v>0.714285714285714</v>
      </c>
      <c r="I8" s="10" t="n">
        <f aca="false">IF((C8-F8-G8)=0,0,D8/(C8-F8-G8))</f>
        <v>0.4</v>
      </c>
    </row>
    <row r="9" customFormat="false" ht="15" hidden="false" customHeight="false" outlineLevel="0" collapsed="false">
      <c r="A9" s="7" t="str">
        <f aca="false">'테스트 시나리오'!A9</f>
        <v>TS-08</v>
      </c>
      <c r="B9" s="4" t="str">
        <f aca="false">'테스트 시나리오'!B9</f>
        <v>비상정지</v>
      </c>
      <c r="C9" s="7" t="n">
        <f aca="false">COUNTIF('테스트 케이스'!$B:$B,A9)</f>
        <v>2</v>
      </c>
      <c r="D9" s="7" t="n">
        <f aca="false">COUNTIFS('테스트 케이스'!$B:$B,A9,'테스트 케이스'!$I:$I,"Pass")</f>
        <v>0</v>
      </c>
      <c r="E9" s="7" t="n">
        <f aca="false">COUNTIFS('테스트 케이스'!$B:$B,A9,'테스트 케이스'!$I:$I,"Fail")</f>
        <v>0</v>
      </c>
      <c r="F9" s="7" t="n">
        <f aca="false">COUNTIFS('테스트 케이스'!$B:$B,A9,'테스트 케이스'!$I:$I,"Blocked")</f>
        <v>0</v>
      </c>
      <c r="G9" s="7" t="n">
        <f aca="false">COUNTIFS('테스트 케이스'!$B:$B,A9,'테스트 케이스'!$I:$I,"Not Run")</f>
        <v>2</v>
      </c>
      <c r="H9" s="10" t="n">
        <f aca="false">IF(C9=0,0,(C9-F9-G9)/C9)</f>
        <v>0</v>
      </c>
      <c r="I9" s="10" t="n">
        <f aca="false">IF((C9-F9-G9)=0,0,D9/(C9-F9-G9))</f>
        <v>0</v>
      </c>
    </row>
    <row r="10" customFormat="false" ht="15" hidden="false" customHeight="false" outlineLevel="0" collapsed="false">
      <c r="A10" s="7" t="str">
        <f aca="false">'테스트 시나리오'!A10</f>
        <v>TS-09</v>
      </c>
      <c r="B10" s="4" t="str">
        <f aca="false">'테스트 시나리오'!B10</f>
        <v>MQTT/DB 연동</v>
      </c>
      <c r="C10" s="7" t="n">
        <f aca="false">COUNTIF('테스트 케이스'!$B:$B,A10)</f>
        <v>3</v>
      </c>
      <c r="D10" s="7" t="n">
        <f aca="false">COUNTIFS('테스트 케이스'!$B:$B,A10,'테스트 케이스'!$I:$I,"Pass")</f>
        <v>1</v>
      </c>
      <c r="E10" s="7" t="n">
        <f aca="false">COUNTIFS('테스트 케이스'!$B:$B,A10,'테스트 케이스'!$I:$I,"Fail")</f>
        <v>0</v>
      </c>
      <c r="F10" s="7" t="n">
        <f aca="false">COUNTIFS('테스트 케이스'!$B:$B,A10,'테스트 케이스'!$I:$I,"Blocked")</f>
        <v>0</v>
      </c>
      <c r="G10" s="7" t="n">
        <f aca="false">COUNTIFS('테스트 케이스'!$B:$B,A10,'테스트 케이스'!$I:$I,"Not Run")</f>
        <v>2</v>
      </c>
      <c r="H10" s="10" t="n">
        <f aca="false">IF(C10=0,0,(C10-F10-G10)/C10)</f>
        <v>0.333333333333333</v>
      </c>
      <c r="I10" s="10" t="n">
        <f aca="false">IF((C10-F10-G10)=0,0,D10/(C10-F10-G10))</f>
        <v>1</v>
      </c>
    </row>
    <row r="11" customFormat="false" ht="15" hidden="false" customHeight="false" outlineLevel="0" collapsed="false">
      <c r="A11" s="7" t="str">
        <f aca="false">'테스트 시나리오'!A11</f>
        <v>TS-10</v>
      </c>
      <c r="B11" s="4" t="str">
        <f aca="false">'테스트 시나리오'!B11</f>
        <v>공개 저장소 보안</v>
      </c>
      <c r="C11" s="7" t="n">
        <f aca="false">COUNTIF('테스트 케이스'!$B:$B,A11)</f>
        <v>2</v>
      </c>
      <c r="D11" s="7" t="n">
        <f aca="false">COUNTIFS('테스트 케이스'!$B:$B,A11,'테스트 케이스'!$I:$I,"Pass")</f>
        <v>1</v>
      </c>
      <c r="E11" s="7" t="n">
        <f aca="false">COUNTIFS('테스트 케이스'!$B:$B,A11,'테스트 케이스'!$I:$I,"Fail")</f>
        <v>1</v>
      </c>
      <c r="F11" s="7" t="n">
        <f aca="false">COUNTIFS('테스트 케이스'!$B:$B,A11,'테스트 케이스'!$I:$I,"Blocked")</f>
        <v>0</v>
      </c>
      <c r="G11" s="7" t="n">
        <f aca="false">COUNTIFS('테스트 케이스'!$B:$B,A11,'테스트 케이스'!$I:$I,"Not Run")</f>
        <v>0</v>
      </c>
      <c r="H11" s="10" t="n">
        <f aca="false">IF(C11=0,0,(C11-F11-G11)/C11)</f>
        <v>1</v>
      </c>
      <c r="I11" s="10" t="n">
        <f aca="false">IF((C11-F11-G11)=0,0,D11/(C11-F11-G11))</f>
        <v>0.5</v>
      </c>
    </row>
    <row r="12" customFormat="false" ht="15" hidden="false" customHeight="false" outlineLevel="0" collapsed="false">
      <c r="A12" s="7" t="str">
        <f aca="false">'테스트 시나리오'!A12</f>
        <v>TS-11</v>
      </c>
      <c r="B12" s="4" t="str">
        <f aca="false">'테스트 시나리오'!B12</f>
        <v>카메라 비전 인식</v>
      </c>
      <c r="C12" s="7" t="n">
        <f aca="false">COUNTIF('테스트 케이스'!$B:$B,A12)</f>
        <v>5</v>
      </c>
      <c r="D12" s="7" t="n">
        <f aca="false">COUNTIFS('테스트 케이스'!$B:$B,A12,'테스트 케이스'!$I:$I,"Pass")</f>
        <v>3</v>
      </c>
      <c r="E12" s="7" t="n">
        <f aca="false">COUNTIFS('테스트 케이스'!$B:$B,A12,'테스트 케이스'!$I:$I,"Fail")</f>
        <v>2</v>
      </c>
      <c r="F12" s="7" t="n">
        <f aca="false">COUNTIFS('테스트 케이스'!$B:$B,A12,'테스트 케이스'!$I:$I,"Blocked")</f>
        <v>0</v>
      </c>
      <c r="G12" s="7" t="n">
        <f aca="false">COUNTIFS('테스트 케이스'!$B:$B,A12,'테스트 케이스'!$I:$I,"Not Run")</f>
        <v>0</v>
      </c>
      <c r="H12" s="10" t="n">
        <f aca="false">IF(C12=0,0,(C12-F12-G12)/C12)</f>
        <v>1</v>
      </c>
      <c r="I12" s="10" t="n">
        <f aca="false">IF((C12-F12-G12)=0,0,D12/(C12-F12-G12))</f>
        <v>0.6</v>
      </c>
    </row>
    <row r="13" customFormat="false" ht="15" hidden="false" customHeight="false" outlineLevel="0" collapsed="false">
      <c r="A13" s="11" t="s">
        <v>385</v>
      </c>
      <c r="B13" s="3"/>
      <c r="C13" s="11" t="n">
        <f aca="false">SUM(C2:C12)</f>
        <v>43</v>
      </c>
      <c r="D13" s="11" t="n">
        <f aca="false">SUM(D2:D12)</f>
        <v>23</v>
      </c>
      <c r="E13" s="11" t="n">
        <f aca="false">SUM(E2:E12)</f>
        <v>8</v>
      </c>
      <c r="F13" s="11" t="n">
        <f aca="false">SUM(F2:F12)</f>
        <v>1</v>
      </c>
      <c r="G13" s="11" t="n">
        <f aca="false">SUM(G2:G12)</f>
        <v>11</v>
      </c>
      <c r="H13" s="12" t="n">
        <f aca="false">IF(C13=0,0,(C13-F13-G13)/C13)</f>
        <v>0.72093023255814</v>
      </c>
      <c r="I13" s="12" t="n">
        <f aca="false">IF((C13-F13-G13)=0,0,D13/(C13-F13-G13))</f>
        <v>0.741935483870968</v>
      </c>
    </row>
    <row r="15" customFormat="false" ht="15" hidden="false" customHeight="false" outlineLevel="0" collapsed="false">
      <c r="A15" s="13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1"/>
  </cols>
  <sheetData>
    <row r="1" customFormat="false" ht="30" hidden="false" customHeight="true" outlineLevel="0" collapsed="false">
      <c r="A1" s="6" t="s">
        <v>387</v>
      </c>
      <c r="B1" s="6" t="s">
        <v>388</v>
      </c>
      <c r="C1" s="6" t="s">
        <v>389</v>
      </c>
      <c r="D1" s="6" t="s">
        <v>390</v>
      </c>
      <c r="E1" s="6" t="s">
        <v>391</v>
      </c>
      <c r="F1" s="6" t="s">
        <v>392</v>
      </c>
      <c r="G1" s="6" t="s">
        <v>393</v>
      </c>
    </row>
    <row r="2" customFormat="false" ht="48" hidden="false" customHeight="true" outlineLevel="0" collapsed="false">
      <c r="A2" s="7" t="s">
        <v>394</v>
      </c>
      <c r="B2" s="7" t="s">
        <v>82</v>
      </c>
      <c r="C2" s="7" t="s">
        <v>127</v>
      </c>
      <c r="D2" s="5" t="s">
        <v>395</v>
      </c>
      <c r="E2" s="5" t="s">
        <v>396</v>
      </c>
      <c r="F2" s="5" t="s">
        <v>397</v>
      </c>
      <c r="G2" s="8" t="s">
        <v>398</v>
      </c>
    </row>
    <row r="3" customFormat="false" ht="48" hidden="false" customHeight="true" outlineLevel="0" collapsed="false">
      <c r="A3" s="7" t="s">
        <v>399</v>
      </c>
      <c r="B3" s="7" t="s">
        <v>82</v>
      </c>
      <c r="C3" s="7" t="s">
        <v>127</v>
      </c>
      <c r="D3" s="5" t="s">
        <v>400</v>
      </c>
      <c r="E3" s="4" t="s">
        <v>401</v>
      </c>
      <c r="F3" s="4" t="s">
        <v>402</v>
      </c>
      <c r="G3" s="8" t="s">
        <v>398</v>
      </c>
    </row>
    <row r="4" customFormat="false" ht="48" hidden="false" customHeight="true" outlineLevel="0" collapsed="false">
      <c r="A4" s="7" t="s">
        <v>403</v>
      </c>
      <c r="B4" s="7" t="s">
        <v>82</v>
      </c>
      <c r="C4" s="7" t="s">
        <v>204</v>
      </c>
      <c r="D4" s="4" t="s">
        <v>404</v>
      </c>
      <c r="E4" s="4" t="s">
        <v>405</v>
      </c>
      <c r="F4" s="5" t="s">
        <v>406</v>
      </c>
      <c r="G4" s="8" t="s">
        <v>407</v>
      </c>
    </row>
    <row r="5" customFormat="false" ht="48" hidden="false" customHeight="true" outlineLevel="0" collapsed="false">
      <c r="A5" s="7" t="s">
        <v>408</v>
      </c>
      <c r="B5" s="7" t="s">
        <v>82</v>
      </c>
      <c r="C5" s="7" t="s">
        <v>204</v>
      </c>
      <c r="D5" s="5" t="s">
        <v>409</v>
      </c>
      <c r="E5" s="5" t="s">
        <v>410</v>
      </c>
      <c r="F5" s="5" t="s">
        <v>411</v>
      </c>
      <c r="G5" s="8" t="s">
        <v>407</v>
      </c>
    </row>
    <row r="6" customFormat="false" ht="48" hidden="false" customHeight="true" outlineLevel="0" collapsed="false">
      <c r="A6" s="7" t="s">
        <v>237</v>
      </c>
      <c r="B6" s="7" t="s">
        <v>82</v>
      </c>
      <c r="C6" s="7" t="s">
        <v>231</v>
      </c>
      <c r="D6" s="5" t="s">
        <v>412</v>
      </c>
      <c r="E6" s="5" t="s">
        <v>413</v>
      </c>
      <c r="F6" s="4" t="s">
        <v>414</v>
      </c>
      <c r="G6" s="8" t="s">
        <v>407</v>
      </c>
    </row>
    <row r="7" customFormat="false" ht="48" hidden="false" customHeight="true" outlineLevel="0" collapsed="false">
      <c r="A7" s="7" t="s">
        <v>415</v>
      </c>
      <c r="B7" s="7" t="s">
        <v>82</v>
      </c>
      <c r="C7" s="7" t="s">
        <v>191</v>
      </c>
      <c r="D7" s="5" t="s">
        <v>416</v>
      </c>
      <c r="E7" s="5" t="s">
        <v>417</v>
      </c>
      <c r="F7" s="4" t="s">
        <v>418</v>
      </c>
      <c r="G7" s="8" t="s">
        <v>407</v>
      </c>
    </row>
    <row r="8" customFormat="false" ht="48" hidden="false" customHeight="true" outlineLevel="0" collapsed="false">
      <c r="A8" s="7" t="s">
        <v>245</v>
      </c>
      <c r="B8" s="7" t="s">
        <v>82</v>
      </c>
      <c r="C8" s="7" t="s">
        <v>238</v>
      </c>
      <c r="D8" s="4" t="s">
        <v>419</v>
      </c>
      <c r="E8" s="5" t="s">
        <v>420</v>
      </c>
      <c r="F8" s="5" t="s">
        <v>421</v>
      </c>
      <c r="G8" s="8" t="s">
        <v>407</v>
      </c>
    </row>
    <row r="9" customFormat="false" ht="48" hidden="false" customHeight="true" outlineLevel="0" collapsed="false">
      <c r="A9" s="7" t="s">
        <v>422</v>
      </c>
      <c r="B9" s="7" t="s">
        <v>82</v>
      </c>
      <c r="C9" s="7" t="s">
        <v>277</v>
      </c>
      <c r="D9" s="4" t="s">
        <v>423</v>
      </c>
      <c r="E9" s="4" t="s">
        <v>424</v>
      </c>
      <c r="F9" s="4" t="s">
        <v>425</v>
      </c>
      <c r="G9" s="8" t="s">
        <v>398</v>
      </c>
    </row>
    <row r="10" customFormat="false" ht="48" hidden="false" customHeight="true" outlineLevel="0" collapsed="false">
      <c r="A10" s="7" t="s">
        <v>426</v>
      </c>
      <c r="B10" s="7" t="s">
        <v>82</v>
      </c>
      <c r="C10" s="7" t="s">
        <v>225</v>
      </c>
      <c r="D10" s="5" t="s">
        <v>427</v>
      </c>
      <c r="E10" s="5" t="s">
        <v>428</v>
      </c>
      <c r="F10" s="5" t="s">
        <v>429</v>
      </c>
      <c r="G10" s="8" t="s">
        <v>407</v>
      </c>
    </row>
    <row r="11" customFormat="false" ht="48" hidden="false" customHeight="true" outlineLevel="0" collapsed="false">
      <c r="A11" s="7" t="s">
        <v>430</v>
      </c>
      <c r="B11" s="7" t="s">
        <v>82</v>
      </c>
      <c r="C11" s="7" t="s">
        <v>291</v>
      </c>
      <c r="D11" s="5" t="s">
        <v>431</v>
      </c>
      <c r="E11" s="5" t="s">
        <v>432</v>
      </c>
      <c r="F11" s="4" t="s">
        <v>433</v>
      </c>
      <c r="G11" s="8" t="s">
        <v>434</v>
      </c>
    </row>
    <row r="12" customFormat="false" ht="48" hidden="false" customHeight="true" outlineLevel="0" collapsed="false">
      <c r="A12" s="7" t="s">
        <v>218</v>
      </c>
      <c r="B12" s="7" t="s">
        <v>82</v>
      </c>
      <c r="C12" s="7" t="s">
        <v>212</v>
      </c>
      <c r="D12" s="5" t="s">
        <v>435</v>
      </c>
      <c r="E12" s="5" t="s">
        <v>436</v>
      </c>
      <c r="F12" s="5" t="s">
        <v>437</v>
      </c>
      <c r="G12" s="8" t="s">
        <v>407</v>
      </c>
    </row>
    <row r="13" customFormat="false" ht="48" hidden="false" customHeight="true" outlineLevel="0" collapsed="false">
      <c r="A13" s="7" t="s">
        <v>438</v>
      </c>
      <c r="B13" s="7" t="s">
        <v>82</v>
      </c>
      <c r="C13" s="7" t="s">
        <v>344</v>
      </c>
      <c r="D13" s="4" t="s">
        <v>439</v>
      </c>
      <c r="E13" s="5" t="s">
        <v>440</v>
      </c>
      <c r="F13" s="5" t="s">
        <v>441</v>
      </c>
      <c r="G13" s="8" t="s">
        <v>398</v>
      </c>
    </row>
    <row r="14" customFormat="false" ht="48" hidden="false" customHeight="true" outlineLevel="0" collapsed="false">
      <c r="A14" s="7" t="s">
        <v>373</v>
      </c>
      <c r="B14" s="7" t="s">
        <v>82</v>
      </c>
      <c r="C14" s="7" t="s">
        <v>366</v>
      </c>
      <c r="D14" s="5" t="s">
        <v>442</v>
      </c>
      <c r="E14" s="4" t="s">
        <v>443</v>
      </c>
      <c r="F14" s="5" t="s">
        <v>444</v>
      </c>
      <c r="G14" s="8" t="s">
        <v>398</v>
      </c>
    </row>
    <row r="15" customFormat="false" ht="48" hidden="false" customHeight="true" outlineLevel="0" collapsed="false">
      <c r="A15" s="7" t="s">
        <v>445</v>
      </c>
      <c r="B15" s="7" t="s">
        <v>82</v>
      </c>
      <c r="C15" s="7" t="s">
        <v>320</v>
      </c>
      <c r="D15" s="5" t="s">
        <v>446</v>
      </c>
      <c r="E15" s="5" t="s">
        <v>447</v>
      </c>
      <c r="F15" s="5" t="s">
        <v>448</v>
      </c>
      <c r="G15" s="8" t="s">
        <v>398</v>
      </c>
    </row>
    <row r="16" customFormat="false" ht="48" hidden="false" customHeight="true" outlineLevel="0" collapsed="false">
      <c r="A16" s="7" t="s">
        <v>449</v>
      </c>
      <c r="B16" s="7" t="s">
        <v>82</v>
      </c>
      <c r="C16" s="7" t="s">
        <v>320</v>
      </c>
      <c r="D16" s="5" t="s">
        <v>450</v>
      </c>
      <c r="E16" s="5" t="s">
        <v>451</v>
      </c>
      <c r="F16" s="5" t="s">
        <v>452</v>
      </c>
      <c r="G16" s="8" t="s">
        <v>407</v>
      </c>
    </row>
    <row r="17" customFormat="false" ht="48" hidden="false" customHeight="true" outlineLevel="0" collapsed="false">
      <c r="A17" s="7" t="s">
        <v>381</v>
      </c>
      <c r="B17" s="7" t="s">
        <v>82</v>
      </c>
      <c r="C17" s="7" t="s">
        <v>374</v>
      </c>
      <c r="D17" s="5" t="s">
        <v>453</v>
      </c>
      <c r="E17" s="5" t="s">
        <v>454</v>
      </c>
      <c r="F17" s="5" t="s">
        <v>455</v>
      </c>
      <c r="G17" s="8" t="s">
        <v>456</v>
      </c>
    </row>
  </sheetData>
  <conditionalFormatting sqref="G2:G67">
    <cfRule type="cellIs" priority="2" operator="equal" aboveAverage="0" equalAverage="0" bottom="0" percent="0" rank="0" text="" dxfId="16">
      <formula>"종료"</formula>
    </cfRule>
    <cfRule type="cellIs" priority="3" operator="equal" aboveAverage="0" equalAverage="0" bottom="0" percent="0" rank="0" text="" dxfId="17">
      <formula>"미해결"</formula>
    </cfRule>
    <cfRule type="cellIs" priority="4" operator="equal" aboveAverage="0" equalAverage="0" bottom="0" percent="0" rank="0" text="" dxfId="18">
      <formula>"조치 중"</formula>
    </cfRule>
    <cfRule type="cellIs" priority="5" operator="equal" aboveAverage="0" equalAverage="0" bottom="0" percent="0" rank="0" text="" dxfId="19">
      <formula>"재시험 대기"</formula>
    </cfRule>
  </conditionalFormatting>
  <dataValidations count="1">
    <dataValidation allowBlank="true" errorStyle="stop" operator="between" showDropDown="false" showErrorMessage="false" showInputMessage="false" sqref="G2:G67" type="list">
      <formula1>"미해결,조치 중,재시험 대기,종료,종료(우회)"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2026-09-28T09:07:28Z</dcterms:created>
  <dc:creator>openpyxl</dc:creator>
  <dc:description/>
  <dc:language>en-US</dc:language>
  <cp:lastModifiedBy/>
  <dcterms:modified xsi:type="dcterms:W3CDTF">2026-09-28T09:07:28Z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